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ados prontos Dia 0" sheetId="2" r:id="rId5"/>
    <sheet state="visible" name="Dia 7" sheetId="3" r:id="rId6"/>
    <sheet state="visible" name="Dados prontos Dia 7" sheetId="4" r:id="rId7"/>
    <sheet state="visible" name="Dia 14" sheetId="5" r:id="rId8"/>
    <sheet state="visible" name="Dados prontos Dia 14" sheetId="6" r:id="rId9"/>
    <sheet state="visible" name="PROCESSAMENTO" sheetId="7" r:id="rId10"/>
  </sheets>
  <definedNames/>
  <calcPr/>
  <extLst>
    <ext uri="GoogleSheetsCustomDataVersion2">
      <go:sheetsCustomData xmlns:go="http://customooxmlschemas.google.com/" r:id="rId11" roundtripDataChecksum="j0TPtL22TGULi0kTtCSA+rW6FfNbwQHB7eQF/yFfd9I="/>
    </ext>
  </extLst>
</workbook>
</file>

<file path=xl/sharedStrings.xml><?xml version="1.0" encoding="utf-8"?>
<sst xmlns="http://schemas.openxmlformats.org/spreadsheetml/2006/main" count="302" uniqueCount="57">
  <si>
    <t>Tabela de Crescimento Radicular</t>
  </si>
  <si>
    <t>Tamanho (cm)</t>
  </si>
  <si>
    <t>Duplicata</t>
  </si>
  <si>
    <t>Controles</t>
  </si>
  <si>
    <t>AI</t>
  </si>
  <si>
    <t>A</t>
  </si>
  <si>
    <t>BI</t>
  </si>
  <si>
    <t>B</t>
  </si>
  <si>
    <t>CN - M</t>
  </si>
  <si>
    <t>CN - T</t>
  </si>
  <si>
    <t>CN - D</t>
  </si>
  <si>
    <t>CP</t>
  </si>
  <si>
    <t>0%</t>
  </si>
  <si>
    <t>25%</t>
  </si>
  <si>
    <t>50%</t>
  </si>
  <si>
    <t>Média</t>
  </si>
  <si>
    <t>DP</t>
  </si>
  <si>
    <t>CRR (%)</t>
  </si>
  <si>
    <t>IER (%)</t>
  </si>
  <si>
    <t>Tabela de Germinação</t>
  </si>
  <si>
    <t>Sistema</t>
  </si>
  <si>
    <t>%</t>
  </si>
  <si>
    <t>Dupli</t>
  </si>
  <si>
    <t>Germinação</t>
  </si>
  <si>
    <t>TG (%)</t>
  </si>
  <si>
    <t>GRS (%)</t>
  </si>
  <si>
    <t>IG (%)</t>
  </si>
  <si>
    <t>IGN (%)</t>
  </si>
  <si>
    <t>N° de sementes germinadas</t>
  </si>
  <si>
    <t>&gt;0</t>
  </si>
  <si>
    <t>Hormese</t>
  </si>
  <si>
    <t>0 a -0,25</t>
  </si>
  <si>
    <t>Toxicidade baixa</t>
  </si>
  <si>
    <t>-0,25 a -0,5</t>
  </si>
  <si>
    <t>Toxicidade moderada</t>
  </si>
  <si>
    <t>-0,5 a -0,75</t>
  </si>
  <si>
    <t>Toxicidade alta</t>
  </si>
  <si>
    <t>-0,75 a -1,0</t>
  </si>
  <si>
    <t>Toxicidade muito alta</t>
  </si>
  <si>
    <t>TG</t>
  </si>
  <si>
    <t>Taxa de germinação</t>
  </si>
  <si>
    <t>GRS</t>
  </si>
  <si>
    <t>Germinação relativa das sementes</t>
  </si>
  <si>
    <t>IG</t>
  </si>
  <si>
    <t>Índice de germinação</t>
  </si>
  <si>
    <t>CRR</t>
  </si>
  <si>
    <t>Crescimento relativo da radícula</t>
  </si>
  <si>
    <t>IGN</t>
  </si>
  <si>
    <t>Índice de germinação residual normalizado</t>
  </si>
  <si>
    <t>IER</t>
  </si>
  <si>
    <t>Índice de alongamento radical residual normalizado</t>
  </si>
  <si>
    <t>CN</t>
  </si>
  <si>
    <t xml:space="preserve"> </t>
  </si>
  <si>
    <t>TOXICIDADE</t>
  </si>
  <si>
    <t>Dia 0</t>
  </si>
  <si>
    <t>Dia 7</t>
  </si>
  <si>
    <t>Dia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</si>
</sst>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/>
    <font>
      <b/>
      <sz val="12.0"/>
      <color theme="1"/>
      <name val="Times New Roman"/>
    </font>
    <font>
      <color theme="1"/>
      <name val="Arial"/>
    </font>
    <font>
      <i/>
      <color theme="1"/>
      <name val="Arial"/>
    </font>
    <font>
      <sz val="11.0"/>
      <color theme="1"/>
      <name val="Arial"/>
    </font>
    <font>
      <b/>
      <i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6E4EC"/>
        <bgColor rgb="FFF6E4EC"/>
      </patternFill>
    </fill>
    <fill>
      <patternFill patternType="solid">
        <fgColor rgb="FFE1C8D3"/>
        <bgColor rgb="FFE1C8D3"/>
      </patternFill>
    </fill>
    <fill>
      <patternFill patternType="solid">
        <fgColor rgb="FFC4A5B3"/>
        <bgColor rgb="FFC4A5B3"/>
      </patternFill>
    </fill>
    <fill>
      <patternFill patternType="solid">
        <fgColor rgb="FFAE8A9A"/>
        <bgColor rgb="FFAE8A9A"/>
      </patternFill>
    </fill>
    <fill>
      <patternFill patternType="solid">
        <fgColor rgb="FF936A7C"/>
        <bgColor rgb="FF936A7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A2C6BD"/>
        <bgColor rgb="FFA2C6BD"/>
      </patternFill>
    </fill>
    <fill>
      <patternFill patternType="solid">
        <fgColor rgb="FF84AEA4"/>
        <bgColor rgb="FF84AEA4"/>
      </patternFill>
    </fill>
    <fill>
      <patternFill patternType="solid">
        <fgColor rgb="FF66988C"/>
        <bgColor rgb="FF66988C"/>
      </patternFill>
    </fill>
    <fill>
      <patternFill patternType="solid">
        <fgColor rgb="FF558B7E"/>
        <bgColor rgb="FF558B7E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1" fillId="2" fontId="2" numFmtId="0" xfId="0" applyAlignment="1" applyBorder="1" applyFill="1" applyFont="1">
      <alignment horizontal="center"/>
    </xf>
    <xf borderId="2" fillId="0" fontId="6" numFmtId="0" xfId="0" applyBorder="1" applyFont="1"/>
    <xf borderId="0" fillId="0" fontId="7" numFmtId="0" xfId="0" applyAlignment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3" fillId="0" fontId="6" numFmtId="0" xfId="0" applyBorder="1" applyFont="1"/>
    <xf borderId="4" fillId="2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/>
    </xf>
    <xf borderId="5" fillId="0" fontId="6" numFmtId="0" xfId="0" applyBorder="1" applyFont="1"/>
    <xf borderId="4" fillId="3" fontId="3" numFmtId="0" xfId="0" applyAlignment="1" applyBorder="1" applyFont="1">
      <alignment horizontal="center" vertical="center"/>
    </xf>
    <xf borderId="4" fillId="4" fontId="3" numFmtId="49" xfId="0" applyAlignment="1" applyBorder="1" applyFont="1" applyNumberFormat="1">
      <alignment horizontal="center" vertical="center"/>
    </xf>
    <xf borderId="4" fillId="4" fontId="3" numFmtId="9" xfId="0" applyAlignment="1" applyBorder="1" applyFont="1" applyNumberFormat="1">
      <alignment horizontal="center" vertical="center"/>
    </xf>
    <xf borderId="4" fillId="5" fontId="3" numFmtId="49" xfId="0" applyAlignment="1" applyBorder="1" applyFont="1" applyNumberFormat="1">
      <alignment horizontal="center" vertical="center"/>
    </xf>
    <xf borderId="4" fillId="5" fontId="3" numFmtId="9" xfId="0" applyAlignment="1" applyBorder="1" applyFont="1" applyNumberFormat="1">
      <alignment horizontal="center" vertical="center"/>
    </xf>
    <xf borderId="4" fillId="6" fontId="3" numFmtId="49" xfId="0" applyAlignment="1" applyBorder="1" applyFont="1" applyNumberFormat="1">
      <alignment horizontal="center" vertical="center"/>
    </xf>
    <xf borderId="4" fillId="6" fontId="3" numFmtId="9" xfId="0" applyAlignment="1" applyBorder="1" applyFont="1" applyNumberFormat="1">
      <alignment horizontal="center" vertical="center"/>
    </xf>
    <xf borderId="4" fillId="7" fontId="3" numFmtId="49" xfId="0" applyAlignment="1" applyBorder="1" applyFont="1" applyNumberFormat="1">
      <alignment horizontal="center" vertical="center"/>
    </xf>
    <xf borderId="4" fillId="7" fontId="3" numFmtId="9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0" wrapText="1"/>
    </xf>
    <xf borderId="6" fillId="0" fontId="6" numFmtId="0" xfId="0" applyBorder="1" applyFont="1"/>
    <xf borderId="0" fillId="0" fontId="7" numFmtId="164" xfId="0" applyAlignment="1" applyFont="1" applyNumberFormat="1">
      <alignment horizontal="center"/>
    </xf>
    <xf borderId="4" fillId="2" fontId="3" numFmtId="3" xfId="0" applyAlignment="1" applyBorder="1" applyFont="1" applyNumberFormat="1">
      <alignment horizontal="center" vertical="center"/>
    </xf>
    <xf borderId="4" fillId="0" fontId="8" numFmtId="4" xfId="0" applyAlignment="1" applyBorder="1" applyFont="1" applyNumberFormat="1">
      <alignment horizontal="center"/>
    </xf>
    <xf borderId="7" fillId="0" fontId="8" numFmtId="4" xfId="0" applyAlignment="1" applyBorder="1" applyFont="1" applyNumberFormat="1">
      <alignment horizontal="center"/>
    </xf>
    <xf borderId="5" fillId="0" fontId="8" numFmtId="4" xfId="0" applyAlignment="1" applyBorder="1" applyFont="1" applyNumberFormat="1">
      <alignment horizontal="center"/>
    </xf>
    <xf borderId="8" fillId="0" fontId="8" numFmtId="4" xfId="0" applyAlignment="1" applyBorder="1" applyFont="1" applyNumberFormat="1">
      <alignment horizontal="center"/>
    </xf>
    <xf borderId="8" fillId="0" fontId="3" numFmtId="4" xfId="0" applyAlignment="1" applyBorder="1" applyFont="1" applyNumberFormat="1">
      <alignment horizontal="center" readingOrder="0"/>
    </xf>
    <xf borderId="4" fillId="0" fontId="3" numFmtId="4" xfId="0" applyAlignment="1" applyBorder="1" applyFont="1" applyNumberFormat="1">
      <alignment horizontal="center" readingOrder="0"/>
    </xf>
    <xf borderId="7" fillId="0" fontId="3" numFmtId="4" xfId="0" applyAlignment="1" applyBorder="1" applyFont="1" applyNumberFormat="1">
      <alignment horizontal="center" readingOrder="0"/>
    </xf>
    <xf borderId="4" fillId="0" fontId="3" numFmtId="164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/>
    </xf>
    <xf borderId="4" fillId="0" fontId="8" numFmtId="4" xfId="0" applyAlignment="1" applyBorder="1" applyFont="1" applyNumberFormat="1">
      <alignment horizontal="center" readingOrder="0"/>
    </xf>
    <xf borderId="9" fillId="0" fontId="8" numFmtId="4" xfId="0" applyAlignment="1" applyBorder="1" applyFont="1" applyNumberFormat="1">
      <alignment horizontal="center"/>
    </xf>
    <xf borderId="10" fillId="0" fontId="8" numFmtId="4" xfId="0" applyAlignment="1" applyBorder="1" applyFont="1" applyNumberFormat="1">
      <alignment horizontal="center"/>
    </xf>
    <xf borderId="10" fillId="0" fontId="3" numFmtId="4" xfId="0" applyAlignment="1" applyBorder="1" applyFont="1" applyNumberFormat="1">
      <alignment horizontal="center" readingOrder="0"/>
    </xf>
    <xf borderId="5" fillId="0" fontId="3" numFmtId="4" xfId="0" applyAlignment="1" applyBorder="1" applyFont="1" applyNumberFormat="1">
      <alignment horizontal="center" readingOrder="0"/>
    </xf>
    <xf borderId="5" fillId="0" fontId="3" numFmtId="164" xfId="0" applyAlignment="1" applyBorder="1" applyFont="1" applyNumberFormat="1">
      <alignment horizontal="center"/>
    </xf>
    <xf borderId="9" fillId="0" fontId="3" numFmtId="4" xfId="0" applyAlignment="1" applyBorder="1" applyFont="1" applyNumberFormat="1">
      <alignment horizontal="center" readingOrder="0"/>
    </xf>
    <xf borderId="5" fillId="0" fontId="8" numFmtId="164" xfId="0" applyAlignment="1" applyBorder="1" applyFont="1" applyNumberFormat="1">
      <alignment horizontal="center"/>
    </xf>
    <xf borderId="5" fillId="0" fontId="8" numFmtId="4" xfId="0" applyAlignment="1" applyBorder="1" applyFont="1" applyNumberFormat="1">
      <alignment horizontal="center" readingOrder="0"/>
    </xf>
    <xf borderId="5" fillId="0" fontId="3" numFmtId="4" xfId="0" applyAlignment="1" applyBorder="1" applyFont="1" applyNumberFormat="1">
      <alignment horizontal="center"/>
    </xf>
    <xf borderId="6" fillId="0" fontId="8" numFmtId="4" xfId="0" applyAlignment="1" applyBorder="1" applyFont="1" applyNumberFormat="1">
      <alignment horizontal="center"/>
    </xf>
    <xf borderId="11" fillId="0" fontId="8" numFmtId="4" xfId="0" applyAlignment="1" applyBorder="1" applyFont="1" applyNumberFormat="1">
      <alignment horizontal="center"/>
    </xf>
    <xf borderId="12" fillId="0" fontId="8" numFmtId="4" xfId="0" applyAlignment="1" applyBorder="1" applyFont="1" applyNumberFormat="1">
      <alignment horizontal="center"/>
    </xf>
    <xf borderId="12" fillId="0" fontId="3" numFmtId="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6" fillId="0" fontId="3" numFmtId="164" xfId="0" applyAlignment="1" applyBorder="1" applyFont="1" applyNumberFormat="1">
      <alignment horizontal="center"/>
    </xf>
    <xf borderId="11" fillId="0" fontId="3" numFmtId="4" xfId="0" applyAlignment="1" applyBorder="1" applyFont="1" applyNumberFormat="1">
      <alignment horizontal="center" readingOrder="0"/>
    </xf>
    <xf borderId="5" fillId="2" fontId="3" numFmtId="3" xfId="0" applyAlignment="1" applyBorder="1" applyFont="1" applyNumberFormat="1">
      <alignment horizontal="center" shrinkToFit="0" vertical="center" wrapText="1"/>
    </xf>
    <xf borderId="4" fillId="0" fontId="3" numFmtId="4" xfId="0" applyAlignment="1" applyBorder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9" fillId="0" fontId="3" numFmtId="4" xfId="0" applyAlignment="1" applyBorder="1" applyFont="1" applyNumberFormat="1">
      <alignment horizontal="center" shrinkToFit="0" wrapText="1"/>
    </xf>
    <xf borderId="9" fillId="0" fontId="3" numFmtId="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 shrinkToFit="0" wrapText="1"/>
    </xf>
    <xf borderId="9" fillId="0" fontId="3" numFmtId="164" xfId="0" applyAlignment="1" applyBorder="1" applyFont="1" applyNumberFormat="1">
      <alignment horizontal="center"/>
    </xf>
    <xf borderId="6" fillId="0" fontId="3" numFmtId="4" xfId="0" applyAlignment="1" applyBorder="1" applyFont="1" applyNumberFormat="1">
      <alignment horizontal="center"/>
    </xf>
    <xf borderId="11" fillId="0" fontId="3" numFmtId="164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/>
    </xf>
    <xf borderId="13" fillId="8" fontId="8" numFmtId="0" xfId="0" applyAlignment="1" applyBorder="1" applyFill="1" applyFont="1">
      <alignment horizontal="center"/>
    </xf>
    <xf borderId="13" fillId="0" fontId="8" numFmtId="4" xfId="0" applyAlignment="1" applyBorder="1" applyFont="1" applyNumberFormat="1">
      <alignment horizontal="center"/>
    </xf>
    <xf borderId="1" fillId="9" fontId="1" numFmtId="0" xfId="0" applyAlignment="1" applyBorder="1" applyFill="1" applyFont="1">
      <alignment horizontal="center"/>
    </xf>
    <xf borderId="4" fillId="9" fontId="3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 vertical="center"/>
    </xf>
    <xf borderId="8" fillId="0" fontId="6" numFmtId="0" xfId="0" applyBorder="1" applyFont="1"/>
    <xf borderId="7" fillId="10" fontId="8" numFmtId="0" xfId="0" applyAlignment="1" applyBorder="1" applyFill="1" applyFont="1">
      <alignment horizontal="center" vertical="center"/>
    </xf>
    <xf borderId="14" fillId="0" fontId="6" numFmtId="0" xfId="0" applyBorder="1" applyFont="1"/>
    <xf borderId="0" fillId="0" fontId="8" numFmtId="0" xfId="0" applyAlignment="1" applyFon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15" fillId="0" fontId="6" numFmtId="0" xfId="0" applyBorder="1" applyFont="1"/>
    <xf borderId="5" fillId="9" fontId="3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/>
    </xf>
    <xf borderId="12" fillId="9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 readingOrder="0"/>
    </xf>
    <xf borderId="0" fillId="0" fontId="8" numFmtId="2" xfId="0" applyAlignment="1" applyFont="1" applyNumberFormat="1">
      <alignment horizontal="center"/>
    </xf>
    <xf borderId="10" fillId="0" fontId="6" numFmtId="0" xfId="0" applyBorder="1" applyFont="1"/>
    <xf borderId="5" fillId="11" fontId="3" numFmtId="0" xfId="0" applyAlignment="1" applyBorder="1" applyFill="1" applyFont="1">
      <alignment horizontal="center" vertical="center"/>
    </xf>
    <xf borderId="5" fillId="11" fontId="8" numFmtId="0" xfId="0" applyAlignment="1" applyBorder="1" applyFont="1">
      <alignment horizontal="center"/>
    </xf>
    <xf borderId="12" fillId="11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5" fillId="12" fontId="3" numFmtId="0" xfId="0" applyAlignment="1" applyBorder="1" applyFill="1" applyFont="1">
      <alignment horizontal="center" vertical="center"/>
    </xf>
    <xf borderId="5" fillId="12" fontId="8" numFmtId="0" xfId="0" applyAlignment="1" applyBorder="1" applyFont="1">
      <alignment horizontal="center"/>
    </xf>
    <xf borderId="12" fillId="12" fontId="8" numFmtId="0" xfId="0" applyAlignment="1" applyBorder="1" applyFont="1">
      <alignment horizontal="center"/>
    </xf>
    <xf borderId="0" fillId="0" fontId="9" numFmtId="0" xfId="0" applyFont="1"/>
    <xf borderId="5" fillId="13" fontId="3" numFmtId="0" xfId="0" applyAlignment="1" applyBorder="1" applyFill="1" applyFont="1">
      <alignment horizontal="center" readingOrder="0" vertical="center"/>
    </xf>
    <xf borderId="5" fillId="13" fontId="8" numFmtId="0" xfId="0" applyAlignment="1" applyBorder="1" applyFont="1">
      <alignment horizontal="center"/>
    </xf>
    <xf borderId="12" fillId="13" fontId="8" numFmtId="0" xfId="0" applyAlignment="1" applyBorder="1" applyFont="1">
      <alignment horizontal="center"/>
    </xf>
    <xf borderId="5" fillId="14" fontId="3" numFmtId="0" xfId="0" applyAlignment="1" applyBorder="1" applyFill="1" applyFont="1">
      <alignment horizontal="center" vertical="center"/>
    </xf>
    <xf borderId="5" fillId="14" fontId="8" numFmtId="0" xfId="0" applyAlignment="1" applyBorder="1" applyFont="1">
      <alignment horizontal="center"/>
    </xf>
    <xf borderId="12" fillId="14" fontId="8" numFmtId="0" xfId="0" applyAlignment="1" applyBorder="1" applyFont="1">
      <alignment horizontal="center"/>
    </xf>
    <xf borderId="15" fillId="0" fontId="8" numFmtId="0" xfId="0" applyBorder="1" applyFont="1"/>
    <xf borderId="4" fillId="0" fontId="10" numFmtId="4" xfId="0" applyAlignment="1" applyBorder="1" applyFont="1" applyNumberFormat="1">
      <alignment horizontal="center" vertical="bottom"/>
    </xf>
    <xf borderId="8" fillId="15" fontId="10" numFmtId="4" xfId="0" applyAlignment="1" applyBorder="1" applyFill="1" applyFont="1" applyNumberForma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13" fillId="0" fontId="10" numFmtId="0" xfId="0" applyAlignment="1" applyBorder="1" applyFont="1">
      <alignment horizontal="center" vertical="bottom"/>
    </xf>
    <xf borderId="3" fillId="16" fontId="10" numFmtId="0" xfId="0" applyAlignment="1" applyBorder="1" applyFill="1" applyFon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4" fillId="9" fontId="8" numFmtId="3" xfId="0" applyAlignment="1" applyBorder="1" applyFont="1" applyNumberFormat="1">
      <alignment horizontal="center" vertical="center"/>
    </xf>
    <xf borderId="13" fillId="9" fontId="8" numFmtId="3" xfId="0" applyAlignment="1" applyBorder="1" applyFont="1" applyNumberFormat="1">
      <alignment horizontal="center" vertical="bottom"/>
    </xf>
    <xf borderId="13" fillId="0" fontId="8" numFmtId="4" xfId="0" applyAlignment="1" applyBorder="1" applyFont="1" applyNumberFormat="1">
      <alignment horizontal="center" vertical="bottom"/>
    </xf>
    <xf borderId="0" fillId="0" fontId="8" numFmtId="4" xfId="0" applyFont="1" applyNumberFormat="1"/>
    <xf borderId="6" fillId="0" fontId="10" numFmtId="0" xfId="0" applyAlignment="1" applyBorder="1" applyFont="1">
      <alignment horizontal="center" vertical="bottom"/>
    </xf>
    <xf borderId="12" fillId="17" fontId="10" numFmtId="0" xfId="0" applyAlignment="1" applyBorder="1" applyFill="1" applyFont="1">
      <alignment horizontal="center" vertical="bottom"/>
    </xf>
    <xf borderId="6" fillId="0" fontId="10" numFmtId="4" xfId="0" applyAlignment="1" applyBorder="1" applyFont="1" applyNumberFormat="1">
      <alignment horizontal="center" vertical="bottom"/>
    </xf>
    <xf borderId="12" fillId="18" fontId="10" numFmtId="4" xfId="0" applyAlignment="1" applyBorder="1" applyFill="1" applyFont="1" applyNumberFormat="1">
      <alignment horizontal="center" vertical="bottom"/>
    </xf>
    <xf borderId="12" fillId="19" fontId="10" numFmtId="4" xfId="0" applyAlignment="1" applyBorder="1" applyFill="1" applyFont="1" applyNumberFormat="1">
      <alignment horizontal="center" vertical="bottom"/>
    </xf>
    <xf borderId="14" fillId="0" fontId="10" numFmtId="4" xfId="0" applyAlignment="1" applyBorder="1" applyFont="1" applyNumberFormat="1">
      <alignment horizontal="center" vertical="bottom"/>
    </xf>
    <xf borderId="13" fillId="0" fontId="11" numFmtId="0" xfId="0" applyAlignment="1" applyBorder="1" applyFont="1">
      <alignment horizontal="center"/>
    </xf>
    <xf borderId="1" fillId="0" fontId="9" numFmtId="0" xfId="0" applyBorder="1" applyFont="1"/>
    <xf borderId="4" fillId="11" fontId="8" numFmtId="3" xfId="0" applyAlignment="1" applyBorder="1" applyFont="1" applyNumberFormat="1">
      <alignment horizontal="center" vertical="center"/>
    </xf>
    <xf borderId="13" fillId="11" fontId="8" numFmtId="3" xfId="0" applyAlignment="1" applyBorder="1" applyFont="1" applyNumberFormat="1">
      <alignment horizontal="center" vertical="bottom"/>
    </xf>
    <xf borderId="4" fillId="12" fontId="8" numFmtId="3" xfId="0" applyAlignment="1" applyBorder="1" applyFont="1" applyNumberFormat="1">
      <alignment horizontal="center" readingOrder="0" vertical="center"/>
    </xf>
    <xf borderId="13" fillId="12" fontId="8" numFmtId="3" xfId="0" applyAlignment="1" applyBorder="1" applyFont="1" applyNumberFormat="1">
      <alignment horizontal="center" vertical="bottom"/>
    </xf>
    <xf borderId="0" fillId="0" fontId="8" numFmtId="10" xfId="0" applyFont="1" applyNumberFormat="1"/>
    <xf borderId="4" fillId="13" fontId="8" numFmtId="3" xfId="0" applyAlignment="1" applyBorder="1" applyFont="1" applyNumberFormat="1">
      <alignment horizontal="center" vertical="center"/>
    </xf>
    <xf borderId="13" fillId="13" fontId="8" numFmtId="3" xfId="0" applyAlignment="1" applyBorder="1" applyFont="1" applyNumberFormat="1">
      <alignment horizontal="center" vertical="bottom"/>
    </xf>
    <xf borderId="1" fillId="14" fontId="8" numFmtId="0" xfId="0" applyAlignment="1" applyBorder="1" applyFont="1">
      <alignment horizontal="center"/>
    </xf>
    <xf borderId="13" fillId="20" fontId="8" numFmtId="4" xfId="0" applyAlignment="1" applyBorder="1" applyFill="1" applyFont="1" applyNumberFormat="1">
      <alignment horizontal="center" vertical="bottom"/>
    </xf>
    <xf borderId="13" fillId="21" fontId="8" numFmtId="4" xfId="0" applyAlignment="1" applyBorder="1" applyFill="1" applyFont="1" applyNumberFormat="1">
      <alignment horizontal="center" vertical="bottom"/>
    </xf>
    <xf borderId="0" fillId="0" fontId="8" numFmtId="0" xfId="0" applyFont="1"/>
    <xf borderId="0" fillId="0" fontId="8" numFmtId="0" xfId="0" applyAlignment="1" applyFont="1">
      <alignment vertical="bottom"/>
    </xf>
    <xf borderId="5" fillId="0" fontId="3" numFmtId="4" xfId="0" applyAlignment="1" applyBorder="1" applyFont="1" applyNumberFormat="1">
      <alignment horizontal="center" readingOrder="0" shrinkToFit="0" wrapText="1"/>
    </xf>
    <xf borderId="6" fillId="0" fontId="3" numFmtId="4" xfId="0" applyAlignment="1" applyBorder="1" applyFont="1" applyNumberFormat="1">
      <alignment horizontal="center" readingOrder="0" shrinkToFit="0" wrapText="1"/>
    </xf>
    <xf borderId="4" fillId="0" fontId="3" numFmtId="4" xfId="0" applyAlignment="1" applyBorder="1" applyFont="1" applyNumberFormat="1">
      <alignment horizontal="center" readingOrder="0" shrinkToFit="0" wrapText="1"/>
    </xf>
    <xf borderId="11" fillId="0" fontId="3" numFmtId="4" xfId="0" applyAlignment="1" applyBorder="1" applyFont="1" applyNumberFormat="1">
      <alignment horizontal="center"/>
    </xf>
    <xf borderId="13" fillId="16" fontId="8" numFmtId="4" xfId="0" applyAlignment="1" applyBorder="1" applyFont="1" applyNumberFormat="1">
      <alignment horizontal="center" vertical="bottom"/>
    </xf>
    <xf borderId="13" fillId="19" fontId="8" numFmtId="4" xfId="0" applyAlignment="1" applyBorder="1" applyFont="1" applyNumberFormat="1">
      <alignment horizontal="center" vertical="bottom"/>
    </xf>
    <xf borderId="13" fillId="15" fontId="8" numFmtId="4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readingOrder="0"/>
    </xf>
    <xf borderId="5" fillId="0" fontId="3" numFmtId="164" xfId="0" applyAlignment="1" applyBorder="1" applyFont="1" applyNumberFormat="1">
      <alignment horizontal="center" readingOrder="0"/>
    </xf>
    <xf borderId="5" fillId="0" fontId="8" numFmtId="164" xfId="0" applyAlignment="1" applyBorder="1" applyFont="1" applyNumberFormat="1">
      <alignment horizontal="center" readingOrder="0"/>
    </xf>
    <xf borderId="1" fillId="9" fontId="8" numFmtId="0" xfId="0" applyAlignment="1" applyBorder="1" applyFont="1">
      <alignment horizontal="center"/>
    </xf>
    <xf borderId="1" fillId="9" fontId="8" numFmtId="0" xfId="0" applyAlignment="1" applyBorder="1" applyFont="1">
      <alignment horizontal="center" readingOrder="0"/>
    </xf>
    <xf borderId="13" fillId="9" fontId="8" numFmtId="0" xfId="0" applyAlignment="1" applyBorder="1" applyFont="1">
      <alignment horizontal="center" vertical="center"/>
    </xf>
    <xf borderId="1" fillId="9" fontId="8" numFmtId="3" xfId="0" applyAlignment="1" applyBorder="1" applyFont="1" applyNumberFormat="1">
      <alignment horizontal="center" vertical="bottom"/>
    </xf>
    <xf borderId="7" fillId="0" fontId="8" numFmtId="4" xfId="0" applyAlignment="1" applyBorder="1" applyFont="1" applyNumberFormat="1">
      <alignment horizontal="center" vertical="center"/>
    </xf>
    <xf borderId="8" fillId="0" fontId="8" numFmtId="4" xfId="0" applyAlignment="1" applyBorder="1" applyFont="1" applyNumberFormat="1">
      <alignment horizontal="center" vertical="center"/>
    </xf>
    <xf borderId="14" fillId="0" fontId="8" numFmtId="4" xfId="0" applyAlignment="1" applyBorder="1" applyFont="1" applyNumberFormat="1">
      <alignment horizontal="center" vertical="center"/>
    </xf>
    <xf borderId="9" fillId="0" fontId="8" numFmtId="4" xfId="0" applyAlignment="1" applyBorder="1" applyFont="1" applyNumberFormat="1">
      <alignment horizontal="center" vertical="center"/>
    </xf>
    <xf borderId="10" fillId="0" fontId="8" numFmtId="4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horizontal="center" vertical="center"/>
    </xf>
    <xf borderId="11" fillId="0" fontId="8" numFmtId="4" xfId="0" applyAlignment="1" applyBorder="1" applyFont="1" applyNumberFormat="1">
      <alignment horizontal="center" vertical="center"/>
    </xf>
    <xf borderId="12" fillId="0" fontId="8" numFmtId="4" xfId="0" applyAlignment="1" applyBorder="1" applyFont="1" applyNumberFormat="1">
      <alignment horizontal="center" vertical="center"/>
    </xf>
    <xf borderId="15" fillId="0" fontId="8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0'!$I$122</c:f>
            </c:strRef>
          </c:tx>
          <c:val>
            <c:numRef>
              <c:f>'Dia 0'!$I$123:$I$128</c:f>
              <c:numCache/>
            </c:numRef>
          </c:val>
        </c:ser>
        <c:ser>
          <c:idx val="1"/>
          <c:order val="1"/>
          <c:tx>
            <c:strRef>
              <c:f>'Dia 0'!$J$122</c:f>
            </c:strRef>
          </c:tx>
          <c:val>
            <c:numRef>
              <c:f>'Dia 0'!$J$123:$J$128</c:f>
              <c:numCache/>
            </c:numRef>
          </c:val>
        </c:ser>
        <c:ser>
          <c:idx val="2"/>
          <c:order val="2"/>
          <c:tx>
            <c:strRef>
              <c:f>'Dia 0'!$K$122</c:f>
            </c:strRef>
          </c:tx>
          <c:val>
            <c:numRef>
              <c:f>'Dia 0'!$K$123:$K$128</c:f>
              <c:numCache/>
            </c:numRef>
          </c:val>
        </c:ser>
        <c:axId val="1135693259"/>
        <c:axId val="1747648568"/>
      </c:barChart>
      <c:catAx>
        <c:axId val="1135693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7648568"/>
      </c:catAx>
      <c:valAx>
        <c:axId val="174764856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35693259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'Dados prontos Dia 0'!$I$2:$I$3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val>
            <c:numRef>
              <c:f>'Dados prontos Dia 0'!$I$4:$I$7</c:f>
              <c:numCache/>
            </c:numRef>
          </c:val>
        </c:ser>
        <c:ser>
          <c:idx val="1"/>
          <c:order val="1"/>
          <c:tx>
            <c:strRef>
              <c:f>'Dados prontos Dia 0'!$J$2:$J$3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val>
            <c:numRef>
              <c:f>'Dados prontos Dia 0'!$J$4:$J$7</c:f>
              <c:numCache/>
            </c:numRef>
          </c:val>
        </c:ser>
        <c:axId val="119399617"/>
        <c:axId val="555114471"/>
      </c:barChart>
      <c:catAx>
        <c:axId val="119399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5114471"/>
      </c:catAx>
      <c:valAx>
        <c:axId val="555114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39961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7'!$I$122</c:f>
            </c:strRef>
          </c:tx>
          <c:val>
            <c:numRef>
              <c:f>'Dia 7'!$I$123:$I$128</c:f>
              <c:numCache/>
            </c:numRef>
          </c:val>
        </c:ser>
        <c:ser>
          <c:idx val="1"/>
          <c:order val="1"/>
          <c:tx>
            <c:strRef>
              <c:f>'Dia 7'!$J$122</c:f>
            </c:strRef>
          </c:tx>
          <c:val>
            <c:numRef>
              <c:f>'Dia 7'!$J$123:$J$128</c:f>
              <c:numCache/>
            </c:numRef>
          </c:val>
        </c:ser>
        <c:ser>
          <c:idx val="2"/>
          <c:order val="2"/>
          <c:tx>
            <c:strRef>
              <c:f>'Dia 7'!$K$122</c:f>
            </c:strRef>
          </c:tx>
          <c:val>
            <c:numRef>
              <c:f>'Dia 7'!$K$123:$K$128</c:f>
              <c:numCache/>
            </c:numRef>
          </c:val>
        </c:ser>
        <c:axId val="1288431139"/>
        <c:axId val="335704076"/>
      </c:barChart>
      <c:catAx>
        <c:axId val="1288431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5704076"/>
      </c:catAx>
      <c:valAx>
        <c:axId val="33570407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88431139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14'!$I$122</c:f>
            </c:strRef>
          </c:tx>
          <c:val>
            <c:numRef>
              <c:f>'Dia 14'!$I$123:$I$128</c:f>
              <c:numCache/>
            </c:numRef>
          </c:val>
        </c:ser>
        <c:ser>
          <c:idx val="1"/>
          <c:order val="1"/>
          <c:tx>
            <c:strRef>
              <c:f>'Dia 14'!$J$122</c:f>
            </c:strRef>
          </c:tx>
          <c:val>
            <c:numRef>
              <c:f>'Dia 14'!$J$123:$J$128</c:f>
              <c:numCache/>
            </c:numRef>
          </c:val>
        </c:ser>
        <c:ser>
          <c:idx val="2"/>
          <c:order val="2"/>
          <c:tx>
            <c:strRef>
              <c:f>'Dia 14'!$K$122</c:f>
            </c:strRef>
          </c:tx>
          <c:val>
            <c:numRef>
              <c:f>'Dia 14'!$K$123:$K$128</c:f>
              <c:numCache/>
            </c:numRef>
          </c:val>
        </c:ser>
        <c:axId val="503309764"/>
        <c:axId val="190366545"/>
      </c:barChart>
      <c:catAx>
        <c:axId val="503309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0366545"/>
      </c:catAx>
      <c:valAx>
        <c:axId val="19036654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03309764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IGN (%) - AI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PROCESSAMENTO!$C$7:$C$11</c:f>
              <c:numCache/>
            </c:numRef>
          </c:val>
        </c:ser>
        <c:ser>
          <c:idx val="1"/>
          <c:order val="1"/>
          <c:tx>
            <c:v>IER (%) - AI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PROCESSAMENTO!$D$7:$D$11</c:f>
              <c:numCache/>
            </c:numRef>
          </c:val>
        </c:ser>
        <c:ser>
          <c:idx val="2"/>
          <c:order val="2"/>
          <c:tx>
            <c:v>IGN (%) - A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PROCESSAMENTO!$E$7:$E$11</c:f>
              <c:numCache/>
            </c:numRef>
          </c:val>
        </c:ser>
        <c:ser>
          <c:idx val="3"/>
          <c:order val="3"/>
          <c:tx>
            <c:v>IER (%) - A</c:v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PROCESSAMENTO!$F$7:$F$11</c:f>
              <c:numCache/>
            </c:numRef>
          </c:val>
        </c:ser>
        <c:ser>
          <c:idx val="4"/>
          <c:order val="4"/>
          <c:tx>
            <c:v>IGN (%) - I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PROCESSAMENTO!$G$7:$G$11</c:f>
              <c:numCache/>
            </c:numRef>
          </c:val>
        </c:ser>
        <c:ser>
          <c:idx val="5"/>
          <c:order val="5"/>
          <c:tx>
            <c:v>IER (%) - I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PROCESSAMENTO!$H$7:$H$11</c:f>
              <c:numCache/>
            </c:numRef>
          </c:val>
        </c:ser>
        <c:ser>
          <c:idx val="6"/>
          <c:order val="6"/>
          <c:tx>
            <c:v>IGN (%) - B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PROCESSAMENTO!$I$7:$I$11</c:f>
              <c:numCache/>
            </c:numRef>
          </c:val>
        </c:ser>
        <c:ser>
          <c:idx val="7"/>
          <c:order val="7"/>
          <c:tx>
            <c:v>IER (%) - B</c:v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PROCESSAMENTO!$J$7:$J$11</c:f>
              <c:numCache/>
            </c:numRef>
          </c:val>
        </c:ser>
        <c:axId val="1028788250"/>
        <c:axId val="1969101153"/>
      </c:barChart>
      <c:catAx>
        <c:axId val="1028788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9101153"/>
      </c:catAx>
      <c:valAx>
        <c:axId val="1969101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878825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IGN (%) -AI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val>
            <c:numRef>
              <c:f>PROCESSAMENTO!$C$17:$C$21</c:f>
              <c:numCache/>
            </c:numRef>
          </c:val>
        </c:ser>
        <c:ser>
          <c:idx val="1"/>
          <c:order val="1"/>
          <c:tx>
            <c:v>IER (%) - AI</c:v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val>
            <c:numRef>
              <c:f>PROCESSAMENTO!$D$17:$D$21</c:f>
              <c:numCache/>
            </c:numRef>
          </c:val>
        </c:ser>
        <c:ser>
          <c:idx val="2"/>
          <c:order val="2"/>
          <c:tx>
            <c:v>IGN (%) - A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val>
            <c:numRef>
              <c:f>PROCESSAMENTO!$E$17:$E$21</c:f>
              <c:numCache/>
            </c:numRef>
          </c:val>
        </c:ser>
        <c:ser>
          <c:idx val="3"/>
          <c:order val="3"/>
          <c:tx>
            <c:v>IER (%) - A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val>
            <c:numRef>
              <c:f>PROCESSAMENTO!$F$17:$F$21</c:f>
              <c:numCache/>
            </c:numRef>
          </c:val>
        </c:ser>
        <c:ser>
          <c:idx val="4"/>
          <c:order val="4"/>
          <c:tx>
            <c:v>IGN (%) - I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val>
            <c:numRef>
              <c:f>PROCESSAMENTO!$G$17:$G$21</c:f>
              <c:numCache/>
            </c:numRef>
          </c:val>
        </c:ser>
        <c:ser>
          <c:idx val="5"/>
          <c:order val="5"/>
          <c:tx>
            <c:v>IER (%) - I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val>
            <c:numRef>
              <c:f>PROCESSAMENTO!$H$17:$H$21</c:f>
              <c:numCache/>
            </c:numRef>
          </c:val>
        </c:ser>
        <c:ser>
          <c:idx val="6"/>
          <c:order val="6"/>
          <c:tx>
            <c:v>IGN (%) - B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PROCESSAMENTO!$I$17:$I$21</c:f>
              <c:numCache/>
            </c:numRef>
          </c:val>
        </c:ser>
        <c:ser>
          <c:idx val="7"/>
          <c:order val="7"/>
          <c:tx>
            <c:v>IER (%) - B</c:v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val>
            <c:numRef>
              <c:f>PROCESSAMENTO!$J$17:$J$21</c:f>
              <c:numCache/>
            </c:numRef>
          </c:val>
        </c:ser>
        <c:axId val="1650071327"/>
        <c:axId val="485627135"/>
      </c:barChart>
      <c:catAx>
        <c:axId val="1650071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5627135"/>
      </c:catAx>
      <c:valAx>
        <c:axId val="485627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007132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IGN (%) -AI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val>
            <c:numRef>
              <c:f>PROCESSAMENTO!$C$27:$C$31</c:f>
              <c:numCache/>
            </c:numRef>
          </c:val>
        </c:ser>
        <c:ser>
          <c:idx val="1"/>
          <c:order val="1"/>
          <c:tx>
            <c:v>IER (%) - AI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val>
            <c:numRef>
              <c:f>PROCESSAMENTO!$D$27:$D$31</c:f>
              <c:numCache/>
            </c:numRef>
          </c:val>
        </c:ser>
        <c:ser>
          <c:idx val="2"/>
          <c:order val="2"/>
          <c:tx>
            <c:v>IGN (%) - A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val>
            <c:numRef>
              <c:f>PROCESSAMENTO!$E$27:$E$31</c:f>
              <c:numCache/>
            </c:numRef>
          </c:val>
        </c:ser>
        <c:ser>
          <c:idx val="3"/>
          <c:order val="3"/>
          <c:tx>
            <c:v>IER (%) - A</c:v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val>
            <c:numRef>
              <c:f>PROCESSAMENTO!$F$27:$F$31</c:f>
              <c:numCache/>
            </c:numRef>
          </c:val>
        </c:ser>
        <c:ser>
          <c:idx val="4"/>
          <c:order val="4"/>
          <c:tx>
            <c:v>IGN (%) - I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val>
            <c:numRef>
              <c:f>PROCESSAMENTO!$G$27:$G$31</c:f>
              <c:numCache/>
            </c:numRef>
          </c:val>
        </c:ser>
        <c:ser>
          <c:idx val="5"/>
          <c:order val="5"/>
          <c:tx>
            <c:v>IER (%) - I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val>
            <c:numRef>
              <c:f>PROCESSAMENTO!$H$27:$H$31</c:f>
              <c:numCache/>
            </c:numRef>
          </c:val>
        </c:ser>
        <c:ser>
          <c:idx val="6"/>
          <c:order val="6"/>
          <c:tx>
            <c:v>IGN (%) - B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PROCESSAMENTO!$I$27:$I$31</c:f>
              <c:numCache/>
            </c:numRef>
          </c:val>
        </c:ser>
        <c:ser>
          <c:idx val="7"/>
          <c:order val="7"/>
          <c:tx>
            <c:v>IER (%) - B</c:v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val>
            <c:numRef>
              <c:f>PROCESSAMENTO!$J$27:$J$31</c:f>
              <c:numCache/>
            </c:numRef>
          </c:val>
        </c:ser>
        <c:axId val="200045755"/>
        <c:axId val="1816712479"/>
      </c:barChart>
      <c:catAx>
        <c:axId val="20004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6712479"/>
      </c:catAx>
      <c:valAx>
        <c:axId val="1816712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0457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5450692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25</xdr:row>
      <xdr:rowOff>190500</xdr:rowOff>
    </xdr:from>
    <xdr:ext cx="3657600" cy="2266950"/>
    <xdr:graphicFrame>
      <xdr:nvGraphicFramePr>
        <xdr:cNvPr id="202939206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92269252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46182702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3</xdr:row>
      <xdr:rowOff>171450</xdr:rowOff>
    </xdr:from>
    <xdr:ext cx="2124075" cy="1314450"/>
    <xdr:graphicFrame>
      <xdr:nvGraphicFramePr>
        <xdr:cNvPr id="1418385336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314325</xdr:colOff>
      <xdr:row>13</xdr:row>
      <xdr:rowOff>171450</xdr:rowOff>
    </xdr:from>
    <xdr:ext cx="2124075" cy="1314450"/>
    <xdr:graphicFrame>
      <xdr:nvGraphicFramePr>
        <xdr:cNvPr id="147692187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314325</xdr:colOff>
      <xdr:row>23</xdr:row>
      <xdr:rowOff>171450</xdr:rowOff>
    </xdr:from>
    <xdr:ext cx="5715000" cy="3533775"/>
    <xdr:graphicFrame>
      <xdr:nvGraphicFramePr>
        <xdr:cNvPr id="293792875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2.447</v>
      </c>
      <c r="D7" s="32">
        <v>1.697</v>
      </c>
      <c r="E7" s="33">
        <v>2.713</v>
      </c>
      <c r="F7" s="34">
        <v>0.212</v>
      </c>
      <c r="G7" s="35">
        <v>0.174</v>
      </c>
      <c r="H7" s="36">
        <v>0.101</v>
      </c>
      <c r="I7" s="36">
        <v>0.624</v>
      </c>
      <c r="J7" s="36">
        <v>0.246</v>
      </c>
      <c r="K7" s="36">
        <v>0.295</v>
      </c>
      <c r="L7" s="36">
        <v>0.695</v>
      </c>
      <c r="M7" s="37">
        <v>0.388</v>
      </c>
      <c r="N7" s="36">
        <v>0.232</v>
      </c>
      <c r="O7" s="36">
        <v>0.156</v>
      </c>
      <c r="P7" s="38"/>
      <c r="Q7" s="36">
        <v>1.675</v>
      </c>
      <c r="R7" s="36">
        <v>0.431</v>
      </c>
      <c r="S7" s="36">
        <v>0.686</v>
      </c>
      <c r="T7" s="31"/>
      <c r="U7" s="39"/>
      <c r="V7" s="40">
        <v>1.049</v>
      </c>
      <c r="W7" s="40">
        <v>0.338</v>
      </c>
      <c r="X7" s="40">
        <v>0.17</v>
      </c>
      <c r="Y7" s="40">
        <v>0.073</v>
      </c>
      <c r="Z7" s="39"/>
    </row>
    <row r="8" ht="15.75" customHeight="1">
      <c r="A8" s="29"/>
      <c r="B8" s="17"/>
      <c r="C8" s="33">
        <v>2.597</v>
      </c>
      <c r="D8" s="41">
        <v>2.783</v>
      </c>
      <c r="E8" s="33">
        <v>2.496</v>
      </c>
      <c r="F8" s="42">
        <v>0.319</v>
      </c>
      <c r="G8" s="43">
        <v>1.704</v>
      </c>
      <c r="H8" s="44">
        <v>1.875</v>
      </c>
      <c r="I8" s="44">
        <v>1.308</v>
      </c>
      <c r="J8" s="44">
        <v>0.594</v>
      </c>
      <c r="K8" s="45"/>
      <c r="L8" s="44">
        <v>0.784</v>
      </c>
      <c r="M8" s="46">
        <v>0.695</v>
      </c>
      <c r="N8" s="44">
        <v>0.25</v>
      </c>
      <c r="O8" s="44">
        <v>0.118</v>
      </c>
      <c r="P8" s="45"/>
      <c r="Q8" s="44">
        <v>2.836</v>
      </c>
      <c r="R8" s="44">
        <v>1.012</v>
      </c>
      <c r="S8" s="44">
        <v>0.983</v>
      </c>
      <c r="T8" s="47"/>
      <c r="U8" s="47"/>
      <c r="V8" s="48">
        <v>0.9</v>
      </c>
      <c r="W8" s="48">
        <v>0.151</v>
      </c>
      <c r="X8" s="48">
        <v>0.409</v>
      </c>
      <c r="Y8" s="33"/>
      <c r="Z8" s="47"/>
    </row>
    <row r="9" ht="15.75" customHeight="1">
      <c r="A9" s="29"/>
      <c r="B9" s="17"/>
      <c r="C9" s="33">
        <v>2.844</v>
      </c>
      <c r="D9" s="41">
        <v>3.373</v>
      </c>
      <c r="E9" s="33">
        <v>3.394</v>
      </c>
      <c r="F9" s="42">
        <v>0.095</v>
      </c>
      <c r="G9" s="43">
        <v>0.307</v>
      </c>
      <c r="H9" s="44">
        <v>2.268</v>
      </c>
      <c r="I9" s="44">
        <v>1.944</v>
      </c>
      <c r="J9" s="44">
        <v>0.115</v>
      </c>
      <c r="K9" s="45"/>
      <c r="L9" s="44">
        <v>0.486</v>
      </c>
      <c r="M9" s="46">
        <v>0.734</v>
      </c>
      <c r="N9" s="44">
        <v>0.114</v>
      </c>
      <c r="O9" s="44">
        <v>0.358</v>
      </c>
      <c r="P9" s="45"/>
      <c r="Q9" s="44">
        <v>1.898</v>
      </c>
      <c r="R9" s="44">
        <v>1.836</v>
      </c>
      <c r="S9" s="44">
        <v>0.077</v>
      </c>
      <c r="T9" s="47"/>
      <c r="U9" s="47"/>
      <c r="V9" s="48">
        <v>0.534</v>
      </c>
      <c r="W9" s="48">
        <v>0.552</v>
      </c>
      <c r="X9" s="48">
        <v>0.359</v>
      </c>
      <c r="Y9" s="33"/>
      <c r="Z9" s="47"/>
    </row>
    <row r="10" ht="15.75" customHeight="1">
      <c r="A10" s="29"/>
      <c r="B10" s="17"/>
      <c r="C10" s="33">
        <v>2.369</v>
      </c>
      <c r="D10" s="41">
        <v>1.994</v>
      </c>
      <c r="E10" s="33">
        <v>2.861</v>
      </c>
      <c r="F10" s="42">
        <v>0.424</v>
      </c>
      <c r="G10" s="43">
        <v>1.908</v>
      </c>
      <c r="H10" s="44">
        <v>2.013</v>
      </c>
      <c r="I10" s="44">
        <v>0.516</v>
      </c>
      <c r="J10" s="44">
        <v>0.089</v>
      </c>
      <c r="K10" s="45"/>
      <c r="L10" s="44">
        <v>0.604</v>
      </c>
      <c r="M10" s="46">
        <v>0.567</v>
      </c>
      <c r="N10" s="44">
        <v>0.128</v>
      </c>
      <c r="O10" s="44">
        <v>0.326</v>
      </c>
      <c r="P10" s="45"/>
      <c r="Q10" s="44">
        <v>0.119</v>
      </c>
      <c r="R10" s="44">
        <v>1.576</v>
      </c>
      <c r="S10" s="44">
        <v>0.516</v>
      </c>
      <c r="T10" s="47"/>
      <c r="U10" s="47"/>
      <c r="V10" s="48">
        <v>1.381</v>
      </c>
      <c r="W10" s="48">
        <v>0.622</v>
      </c>
      <c r="X10" s="48">
        <v>0.264</v>
      </c>
      <c r="Y10" s="33"/>
      <c r="Z10" s="47"/>
    </row>
    <row r="11" ht="15.75" customHeight="1">
      <c r="A11" s="29"/>
      <c r="B11" s="17"/>
      <c r="C11" s="33">
        <v>2.803</v>
      </c>
      <c r="D11" s="41">
        <v>2.397</v>
      </c>
      <c r="E11" s="33">
        <v>2.41</v>
      </c>
      <c r="F11" s="42">
        <v>0.089</v>
      </c>
      <c r="G11" s="43">
        <v>1.855</v>
      </c>
      <c r="H11" s="44">
        <v>1.257</v>
      </c>
      <c r="I11" s="44">
        <v>2.028</v>
      </c>
      <c r="J11" s="44">
        <v>0.48</v>
      </c>
      <c r="K11" s="45"/>
      <c r="L11" s="44">
        <v>0.67</v>
      </c>
      <c r="M11" s="46">
        <v>0.16</v>
      </c>
      <c r="N11" s="44">
        <v>0.303</v>
      </c>
      <c r="O11" s="44">
        <v>0.675</v>
      </c>
      <c r="P11" s="45"/>
      <c r="Q11" s="44">
        <v>0.212</v>
      </c>
      <c r="R11" s="44">
        <v>1.405</v>
      </c>
      <c r="S11" s="44">
        <v>0.143</v>
      </c>
      <c r="T11" s="47"/>
      <c r="U11" s="47"/>
      <c r="V11" s="48">
        <v>1.647</v>
      </c>
      <c r="W11" s="48">
        <v>0.417</v>
      </c>
      <c r="X11" s="48">
        <v>0.406</v>
      </c>
      <c r="Y11" s="47"/>
      <c r="Z11" s="47"/>
    </row>
    <row r="12" ht="15.75" customHeight="1">
      <c r="A12" s="29"/>
      <c r="B12" s="17"/>
      <c r="C12" s="33">
        <v>0.548</v>
      </c>
      <c r="D12" s="41">
        <v>2.419</v>
      </c>
      <c r="E12" s="33">
        <v>2.888</v>
      </c>
      <c r="F12" s="42">
        <v>0.292</v>
      </c>
      <c r="G12" s="43">
        <v>2.549</v>
      </c>
      <c r="H12" s="44">
        <v>1.963</v>
      </c>
      <c r="I12" s="44">
        <v>0.319</v>
      </c>
      <c r="J12" s="45"/>
      <c r="K12" s="45"/>
      <c r="L12" s="44">
        <v>0.558</v>
      </c>
      <c r="M12" s="46">
        <v>0.565</v>
      </c>
      <c r="N12" s="49"/>
      <c r="O12" s="44">
        <v>0.148</v>
      </c>
      <c r="P12" s="45"/>
      <c r="Q12" s="44">
        <v>1.976</v>
      </c>
      <c r="R12" s="44">
        <v>1.071</v>
      </c>
      <c r="S12" s="44">
        <v>0.154</v>
      </c>
      <c r="T12" s="47"/>
      <c r="U12" s="47"/>
      <c r="V12" s="48">
        <v>1.193</v>
      </c>
      <c r="W12" s="48">
        <v>0.389</v>
      </c>
      <c r="X12" s="48">
        <v>0.269</v>
      </c>
      <c r="Y12" s="47"/>
      <c r="Z12" s="47"/>
    </row>
    <row r="13" ht="15.75" customHeight="1">
      <c r="A13" s="29"/>
      <c r="B13" s="17"/>
      <c r="C13" s="33">
        <v>2.148</v>
      </c>
      <c r="D13" s="41">
        <v>2.373</v>
      </c>
      <c r="E13" s="33">
        <v>3.319</v>
      </c>
      <c r="F13" s="42">
        <v>0.241</v>
      </c>
      <c r="G13" s="43">
        <v>3.707</v>
      </c>
      <c r="H13" s="44">
        <v>1.927</v>
      </c>
      <c r="I13" s="44">
        <v>0.262</v>
      </c>
      <c r="J13" s="45"/>
      <c r="K13" s="45"/>
      <c r="L13" s="44">
        <v>0.545</v>
      </c>
      <c r="M13" s="46">
        <v>0.611</v>
      </c>
      <c r="N13" s="49"/>
      <c r="O13" s="49"/>
      <c r="P13" s="45"/>
      <c r="Q13" s="44">
        <v>1.87</v>
      </c>
      <c r="R13" s="44">
        <v>1.26</v>
      </c>
      <c r="S13" s="44">
        <v>0.673</v>
      </c>
      <c r="T13" s="47"/>
      <c r="U13" s="47"/>
      <c r="V13" s="48">
        <v>0.416</v>
      </c>
      <c r="W13" s="48">
        <v>0.409</v>
      </c>
      <c r="X13" s="33"/>
      <c r="Y13" s="47"/>
      <c r="Z13" s="47"/>
    </row>
    <row r="14" ht="15.75" customHeight="1">
      <c r="A14" s="29"/>
      <c r="B14" s="17"/>
      <c r="C14" s="33">
        <v>2.155</v>
      </c>
      <c r="D14" s="41">
        <v>2.494</v>
      </c>
      <c r="E14" s="33">
        <v>0.712</v>
      </c>
      <c r="F14" s="42">
        <v>0.234</v>
      </c>
      <c r="G14" s="43">
        <v>2.648</v>
      </c>
      <c r="H14" s="44">
        <v>0.937</v>
      </c>
      <c r="I14" s="44">
        <v>1.406</v>
      </c>
      <c r="J14" s="45"/>
      <c r="K14" s="45"/>
      <c r="L14" s="44">
        <v>0.739</v>
      </c>
      <c r="M14" s="46">
        <v>0.466</v>
      </c>
      <c r="N14" s="49"/>
      <c r="O14" s="49"/>
      <c r="P14" s="45"/>
      <c r="Q14" s="44">
        <v>1.777</v>
      </c>
      <c r="R14" s="44">
        <v>1.292</v>
      </c>
      <c r="S14" s="44">
        <v>0.088</v>
      </c>
      <c r="T14" s="47"/>
      <c r="U14" s="47"/>
      <c r="V14" s="48">
        <v>0.783</v>
      </c>
      <c r="W14" s="48">
        <v>0.082</v>
      </c>
      <c r="X14" s="33"/>
      <c r="Y14" s="47"/>
      <c r="Z14" s="47"/>
    </row>
    <row r="15" ht="15.75" customHeight="1">
      <c r="A15" s="29"/>
      <c r="B15" s="17"/>
      <c r="C15" s="33">
        <v>1.946</v>
      </c>
      <c r="D15" s="41">
        <v>2.403</v>
      </c>
      <c r="E15" s="33">
        <v>3.154</v>
      </c>
      <c r="F15" s="42">
        <v>0.185</v>
      </c>
      <c r="G15" s="43">
        <v>2.215</v>
      </c>
      <c r="H15" s="44">
        <v>0.362</v>
      </c>
      <c r="I15" s="44">
        <v>0.728</v>
      </c>
      <c r="J15" s="45"/>
      <c r="K15" s="45"/>
      <c r="L15" s="44">
        <v>0.553</v>
      </c>
      <c r="M15" s="46">
        <v>0.649</v>
      </c>
      <c r="N15" s="49"/>
      <c r="O15" s="49"/>
      <c r="P15" s="45"/>
      <c r="Q15" s="44">
        <v>2.381</v>
      </c>
      <c r="R15" s="44">
        <v>1.218</v>
      </c>
      <c r="S15" s="49"/>
      <c r="T15" s="47"/>
      <c r="U15" s="47"/>
      <c r="V15" s="48">
        <v>1.147</v>
      </c>
      <c r="W15" s="48">
        <v>0.566</v>
      </c>
      <c r="X15" s="33"/>
      <c r="Y15" s="47"/>
      <c r="Z15" s="47"/>
    </row>
    <row r="16" ht="15.75" customHeight="1">
      <c r="A16" s="29"/>
      <c r="B16" s="28"/>
      <c r="C16" s="50">
        <v>3.258</v>
      </c>
      <c r="D16" s="51">
        <v>0.232</v>
      </c>
      <c r="E16" s="50">
        <v>4.162</v>
      </c>
      <c r="F16" s="52">
        <v>0.27</v>
      </c>
      <c r="G16" s="53">
        <v>1.703</v>
      </c>
      <c r="H16" s="54">
        <v>1.561</v>
      </c>
      <c r="I16" s="54">
        <v>1.051</v>
      </c>
      <c r="J16" s="55"/>
      <c r="K16" s="55"/>
      <c r="L16" s="54">
        <v>0.338</v>
      </c>
      <c r="M16" s="56">
        <v>0.571</v>
      </c>
      <c r="N16" s="49"/>
      <c r="O16" s="49"/>
      <c r="P16" s="45"/>
      <c r="Q16" s="44">
        <v>1.338</v>
      </c>
      <c r="R16" s="44">
        <v>1.143</v>
      </c>
      <c r="S16" s="49"/>
      <c r="T16" s="47"/>
      <c r="U16" s="47"/>
      <c r="V16" s="48">
        <v>1.178</v>
      </c>
      <c r="W16" s="48">
        <v>0.462</v>
      </c>
      <c r="X16" s="33"/>
      <c r="Y16" s="47"/>
      <c r="Z16" s="47"/>
    </row>
    <row r="17" ht="15.75" customHeight="1">
      <c r="A17" s="29"/>
      <c r="B17" s="57">
        <v>2.0</v>
      </c>
      <c r="C17" s="31">
        <v>2.921</v>
      </c>
      <c r="D17" s="41">
        <v>2.304</v>
      </c>
      <c r="E17" s="33">
        <v>2.76</v>
      </c>
      <c r="F17" s="42">
        <v>0.181</v>
      </c>
      <c r="G17" s="35">
        <v>0.239</v>
      </c>
      <c r="H17" s="36">
        <v>1.84</v>
      </c>
      <c r="I17" s="36">
        <v>1.636</v>
      </c>
      <c r="J17" s="38"/>
      <c r="K17" s="38"/>
      <c r="L17" s="36">
        <v>0.411</v>
      </c>
      <c r="M17" s="37">
        <v>0.319</v>
      </c>
      <c r="N17" s="58"/>
      <c r="O17" s="58"/>
      <c r="P17" s="38"/>
      <c r="Q17" s="36">
        <v>3.374</v>
      </c>
      <c r="R17" s="36">
        <v>1.701</v>
      </c>
      <c r="S17" s="58"/>
      <c r="T17" s="39"/>
      <c r="U17" s="39"/>
      <c r="V17" s="40">
        <v>0.667</v>
      </c>
      <c r="W17" s="40">
        <v>0.752</v>
      </c>
      <c r="X17" s="31"/>
      <c r="Y17" s="39"/>
      <c r="Z17" s="39"/>
    </row>
    <row r="18" ht="15.75" customHeight="1">
      <c r="A18" s="29"/>
      <c r="B18" s="17"/>
      <c r="C18" s="33">
        <v>2.385</v>
      </c>
      <c r="D18" s="41">
        <v>2.348</v>
      </c>
      <c r="E18" s="33">
        <v>2.176</v>
      </c>
      <c r="F18" s="42">
        <v>0.235</v>
      </c>
      <c r="G18" s="43">
        <v>1.636</v>
      </c>
      <c r="H18" s="44">
        <v>1.926</v>
      </c>
      <c r="I18" s="44">
        <v>0.863</v>
      </c>
      <c r="J18" s="45"/>
      <c r="K18" s="45"/>
      <c r="L18" s="44">
        <v>0.599</v>
      </c>
      <c r="M18" s="46">
        <v>0.693</v>
      </c>
      <c r="N18" s="49"/>
      <c r="O18" s="45"/>
      <c r="P18" s="45"/>
      <c r="Q18" s="44">
        <v>1.813</v>
      </c>
      <c r="R18" s="44">
        <v>1.454</v>
      </c>
      <c r="S18" s="49"/>
      <c r="T18" s="47"/>
      <c r="U18" s="47"/>
      <c r="V18" s="48">
        <v>0.516</v>
      </c>
      <c r="W18" s="48">
        <v>0.622</v>
      </c>
      <c r="X18" s="33"/>
      <c r="Y18" s="47"/>
      <c r="Z18" s="47"/>
    </row>
    <row r="19" ht="15.75" customHeight="1">
      <c r="A19" s="59"/>
      <c r="B19" s="17"/>
      <c r="C19" s="33">
        <v>0.166</v>
      </c>
      <c r="D19" s="41">
        <v>0.091</v>
      </c>
      <c r="E19" s="33">
        <v>2.103</v>
      </c>
      <c r="F19" s="42">
        <v>0.248</v>
      </c>
      <c r="G19" s="43">
        <v>2.531</v>
      </c>
      <c r="H19" s="44">
        <v>1.577</v>
      </c>
      <c r="I19" s="44">
        <v>1.207</v>
      </c>
      <c r="J19" s="45"/>
      <c r="K19" s="45"/>
      <c r="L19" s="44">
        <v>0.571</v>
      </c>
      <c r="M19" s="46">
        <v>0.537</v>
      </c>
      <c r="N19" s="45"/>
      <c r="O19" s="45"/>
      <c r="P19" s="45"/>
      <c r="Q19" s="44">
        <v>3.52</v>
      </c>
      <c r="R19" s="44">
        <v>0.616</v>
      </c>
      <c r="S19" s="49"/>
      <c r="T19" s="47"/>
      <c r="U19" s="47"/>
      <c r="V19" s="48">
        <v>0.756</v>
      </c>
      <c r="W19" s="48">
        <v>0.531</v>
      </c>
      <c r="X19" s="33"/>
      <c r="Y19" s="47"/>
      <c r="Z19" s="47"/>
    </row>
    <row r="20" ht="15.75" customHeight="1">
      <c r="A20" s="59"/>
      <c r="B20" s="17"/>
      <c r="C20" s="33">
        <v>1.724</v>
      </c>
      <c r="D20" s="33">
        <v>1.427</v>
      </c>
      <c r="E20" s="60"/>
      <c r="F20" s="33">
        <v>0.215</v>
      </c>
      <c r="G20" s="43">
        <v>1.273</v>
      </c>
      <c r="H20" s="44">
        <v>1.231</v>
      </c>
      <c r="I20" s="44">
        <v>1.079</v>
      </c>
      <c r="J20" s="45"/>
      <c r="K20" s="45"/>
      <c r="L20" s="44">
        <v>0.636</v>
      </c>
      <c r="M20" s="61"/>
      <c r="N20" s="45"/>
      <c r="O20" s="45"/>
      <c r="P20" s="45"/>
      <c r="Q20" s="44">
        <v>2.484</v>
      </c>
      <c r="R20" s="44">
        <v>1.423</v>
      </c>
      <c r="S20" s="45"/>
      <c r="T20" s="47"/>
      <c r="U20" s="47"/>
      <c r="V20" s="48">
        <v>0.649</v>
      </c>
      <c r="W20" s="48">
        <v>0.824</v>
      </c>
      <c r="X20" s="47"/>
      <c r="Y20" s="47"/>
      <c r="Z20" s="47"/>
    </row>
    <row r="21" ht="15.75" customHeight="1">
      <c r="A21" s="59"/>
      <c r="B21" s="17"/>
      <c r="C21" s="33">
        <v>2.682</v>
      </c>
      <c r="D21" s="33">
        <v>2.883</v>
      </c>
      <c r="E21" s="62"/>
      <c r="F21" s="49"/>
      <c r="G21" s="44">
        <v>2.225</v>
      </c>
      <c r="H21" s="49"/>
      <c r="I21" s="44">
        <v>0.964</v>
      </c>
      <c r="J21" s="45"/>
      <c r="K21" s="45"/>
      <c r="L21" s="44">
        <v>0.97</v>
      </c>
      <c r="M21" s="61"/>
      <c r="N21" s="45"/>
      <c r="O21" s="45"/>
      <c r="P21" s="45"/>
      <c r="Q21" s="44">
        <v>3.649</v>
      </c>
      <c r="R21" s="44">
        <v>1.649</v>
      </c>
      <c r="S21" s="45"/>
      <c r="T21" s="47"/>
      <c r="U21" s="47"/>
      <c r="V21" s="33"/>
      <c r="W21" s="48">
        <v>0.87</v>
      </c>
      <c r="X21" s="47"/>
      <c r="Y21" s="47"/>
      <c r="Z21" s="47"/>
    </row>
    <row r="22" ht="15.75" customHeight="1">
      <c r="A22" s="59"/>
      <c r="B22" s="17"/>
      <c r="C22" s="33">
        <v>1.453</v>
      </c>
      <c r="D22" s="33">
        <v>2.304</v>
      </c>
      <c r="E22" s="62"/>
      <c r="F22" s="49"/>
      <c r="G22" s="44">
        <v>1.896</v>
      </c>
      <c r="H22" s="49"/>
      <c r="I22" s="45"/>
      <c r="J22" s="45"/>
      <c r="K22" s="45"/>
      <c r="L22" s="44">
        <v>0.556</v>
      </c>
      <c r="M22" s="63"/>
      <c r="N22" s="45"/>
      <c r="O22" s="45"/>
      <c r="P22" s="45"/>
      <c r="Q22" s="44">
        <v>2.408</v>
      </c>
      <c r="R22" s="44">
        <v>0.076</v>
      </c>
      <c r="S22" s="45"/>
      <c r="T22" s="47"/>
      <c r="U22" s="47"/>
      <c r="V22" s="33"/>
      <c r="W22" s="48">
        <v>0.435</v>
      </c>
      <c r="X22" s="47"/>
      <c r="Y22" s="47"/>
      <c r="Z22" s="47"/>
    </row>
    <row r="23" ht="15.75" customHeight="1">
      <c r="A23" s="59"/>
      <c r="B23" s="17"/>
      <c r="C23" s="33">
        <v>1.555</v>
      </c>
      <c r="D23" s="33">
        <v>1.47</v>
      </c>
      <c r="E23" s="62"/>
      <c r="F23" s="49"/>
      <c r="G23" s="45"/>
      <c r="H23" s="45"/>
      <c r="I23" s="45"/>
      <c r="J23" s="45"/>
      <c r="K23" s="45"/>
      <c r="L23" s="49"/>
      <c r="M23" s="63"/>
      <c r="N23" s="45"/>
      <c r="O23" s="45"/>
      <c r="P23" s="45"/>
      <c r="Q23" s="45"/>
      <c r="R23" s="44">
        <v>1.49</v>
      </c>
      <c r="S23" s="45"/>
      <c r="T23" s="47"/>
      <c r="U23" s="47"/>
      <c r="V23" s="33"/>
      <c r="W23" s="33"/>
      <c r="X23" s="47"/>
      <c r="Y23" s="47"/>
      <c r="Z23" s="47"/>
    </row>
    <row r="24" ht="15.75" customHeight="1">
      <c r="A24" s="59"/>
      <c r="B24" s="17"/>
      <c r="C24" s="33">
        <v>1.728</v>
      </c>
      <c r="D24" s="33">
        <v>0.364</v>
      </c>
      <c r="E24" s="62"/>
      <c r="F24" s="45"/>
      <c r="G24" s="45"/>
      <c r="H24" s="45"/>
      <c r="I24" s="45"/>
      <c r="J24" s="45"/>
      <c r="K24" s="45"/>
      <c r="L24" s="49"/>
      <c r="M24" s="63"/>
      <c r="N24" s="45"/>
      <c r="O24" s="45"/>
      <c r="P24" s="45"/>
      <c r="Q24" s="45"/>
      <c r="R24" s="44">
        <v>1.838</v>
      </c>
      <c r="S24" s="45"/>
      <c r="T24" s="47"/>
      <c r="U24" s="47"/>
      <c r="V24" s="33"/>
      <c r="W24" s="33"/>
      <c r="X24" s="47"/>
      <c r="Y24" s="47"/>
      <c r="Z24" s="47"/>
    </row>
    <row r="25" ht="15.75" customHeight="1">
      <c r="A25" s="59"/>
      <c r="B25" s="17"/>
      <c r="C25" s="33">
        <v>2.289</v>
      </c>
      <c r="D25" s="33">
        <v>1.855</v>
      </c>
      <c r="E25" s="62"/>
      <c r="F25" s="45"/>
      <c r="G25" s="45"/>
      <c r="H25" s="45"/>
      <c r="I25" s="45"/>
      <c r="J25" s="45"/>
      <c r="K25" s="45"/>
      <c r="L25" s="45"/>
      <c r="M25" s="63"/>
      <c r="N25" s="45"/>
      <c r="O25" s="45"/>
      <c r="P25" s="45"/>
      <c r="Q25" s="45"/>
      <c r="R25" s="44">
        <v>1.201</v>
      </c>
      <c r="S25" s="45"/>
      <c r="T25" s="47"/>
      <c r="U25" s="47"/>
      <c r="V25" s="47"/>
      <c r="W25" s="47"/>
      <c r="X25" s="47"/>
      <c r="Y25" s="47"/>
      <c r="Z25" s="47"/>
    </row>
    <row r="26" ht="15.75" customHeight="1">
      <c r="B26" s="28"/>
      <c r="C26" s="50">
        <v>1.621</v>
      </c>
      <c r="D26" s="64"/>
      <c r="E26" s="55"/>
      <c r="F26" s="55"/>
      <c r="G26" s="55"/>
      <c r="H26" s="55"/>
      <c r="I26" s="55"/>
      <c r="J26" s="55"/>
      <c r="K26" s="55"/>
      <c r="L26" s="55"/>
      <c r="M26" s="65"/>
      <c r="N26" s="55"/>
      <c r="O26" s="55"/>
      <c r="P26" s="55"/>
      <c r="Q26" s="55"/>
      <c r="R26" s="55"/>
      <c r="S26" s="55"/>
      <c r="T26" s="66"/>
      <c r="U26" s="66"/>
      <c r="V26" s="66"/>
      <c r="W26" s="66"/>
      <c r="X26" s="66"/>
      <c r="Y26" s="66"/>
      <c r="Z26" s="66"/>
    </row>
    <row r="27" ht="19.5" customHeight="1">
      <c r="B27" s="67" t="s">
        <v>15</v>
      </c>
      <c r="C27" s="68">
        <f t="shared" ref="C27:Z27" si="1">AVERAGE(C7:C26)</f>
        <v>2.08195</v>
      </c>
      <c r="D27" s="68">
        <f t="shared" si="1"/>
        <v>1.958473684</v>
      </c>
      <c r="E27" s="68">
        <f t="shared" si="1"/>
        <v>2.703692308</v>
      </c>
      <c r="F27" s="68">
        <f t="shared" si="1"/>
        <v>0.2314285714</v>
      </c>
      <c r="G27" s="68">
        <f t="shared" si="1"/>
        <v>1.785625</v>
      </c>
      <c r="H27" s="68">
        <f t="shared" si="1"/>
        <v>1.488428571</v>
      </c>
      <c r="I27" s="68">
        <f t="shared" si="1"/>
        <v>1.062333333</v>
      </c>
      <c r="J27" s="68">
        <f t="shared" si="1"/>
        <v>0.3048</v>
      </c>
      <c r="K27" s="68">
        <f t="shared" si="1"/>
        <v>0.295</v>
      </c>
      <c r="L27" s="68">
        <f t="shared" si="1"/>
        <v>0.6071875</v>
      </c>
      <c r="M27" s="68">
        <f t="shared" si="1"/>
        <v>0.535</v>
      </c>
      <c r="N27" s="68">
        <f t="shared" si="1"/>
        <v>0.2054</v>
      </c>
      <c r="O27" s="68">
        <f t="shared" si="1"/>
        <v>0.2968333333</v>
      </c>
      <c r="P27" s="68" t="str">
        <f t="shared" si="1"/>
        <v>#DIV/0!</v>
      </c>
      <c r="Q27" s="68">
        <f t="shared" si="1"/>
        <v>2.083125</v>
      </c>
      <c r="R27" s="68">
        <f t="shared" si="1"/>
        <v>1.246947368</v>
      </c>
      <c r="S27" s="68">
        <f t="shared" si="1"/>
        <v>0.415</v>
      </c>
      <c r="T27" s="68" t="str">
        <f t="shared" si="1"/>
        <v>#DIV/0!</v>
      </c>
      <c r="U27" s="68" t="str">
        <f t="shared" si="1"/>
        <v>#DIV/0!</v>
      </c>
      <c r="V27" s="68">
        <f t="shared" si="1"/>
        <v>0.9154285714</v>
      </c>
      <c r="W27" s="68">
        <f t="shared" si="1"/>
        <v>0.501375</v>
      </c>
      <c r="X27" s="68">
        <f t="shared" si="1"/>
        <v>0.3128333333</v>
      </c>
      <c r="Y27" s="68">
        <f t="shared" si="1"/>
        <v>0.073</v>
      </c>
      <c r="Z27" s="68" t="str">
        <f t="shared" si="1"/>
        <v>#DIV/0!</v>
      </c>
    </row>
    <row r="28" ht="15.75" customHeight="1">
      <c r="B28" s="67" t="s">
        <v>16</v>
      </c>
      <c r="C28" s="68">
        <f t="shared" ref="C28:Z28" si="2">STDEV(C7:C26)</f>
        <v>0.7730535132</v>
      </c>
      <c r="D28" s="68">
        <f t="shared" si="2"/>
        <v>0.900571508</v>
      </c>
      <c r="E28" s="68">
        <f t="shared" si="2"/>
        <v>0.8155805074</v>
      </c>
      <c r="F28" s="68">
        <f t="shared" si="2"/>
        <v>0.08527756878</v>
      </c>
      <c r="G28" s="68">
        <f t="shared" si="2"/>
        <v>0.9471874067</v>
      </c>
      <c r="H28" s="68">
        <f t="shared" si="2"/>
        <v>0.644252186</v>
      </c>
      <c r="I28" s="68">
        <f t="shared" si="2"/>
        <v>0.5400801087</v>
      </c>
      <c r="J28" s="68">
        <f t="shared" si="2"/>
        <v>0.2238206872</v>
      </c>
      <c r="K28" s="68" t="str">
        <f t="shared" si="2"/>
        <v>#DIV/0!</v>
      </c>
      <c r="L28" s="68">
        <f t="shared" si="2"/>
        <v>0.1486885868</v>
      </c>
      <c r="M28" s="68">
        <f t="shared" si="2"/>
        <v>0.164775605</v>
      </c>
      <c r="N28" s="68">
        <f t="shared" si="2"/>
        <v>0.08149723922</v>
      </c>
      <c r="O28" s="68">
        <f t="shared" si="2"/>
        <v>0.210508353</v>
      </c>
      <c r="P28" s="68" t="str">
        <f t="shared" si="2"/>
        <v>#DIV/0!</v>
      </c>
      <c r="Q28" s="68">
        <f t="shared" si="2"/>
        <v>1.014667425</v>
      </c>
      <c r="R28" s="68">
        <f t="shared" si="2"/>
        <v>0.463526755</v>
      </c>
      <c r="S28" s="68">
        <f t="shared" si="2"/>
        <v>0.3456067129</v>
      </c>
      <c r="T28" s="68" t="str">
        <f t="shared" si="2"/>
        <v>#DIV/0!</v>
      </c>
      <c r="U28" s="68" t="str">
        <f t="shared" si="2"/>
        <v>#DIV/0!</v>
      </c>
      <c r="V28" s="68">
        <f t="shared" si="2"/>
        <v>0.361595123</v>
      </c>
      <c r="W28" s="68">
        <f t="shared" si="2"/>
        <v>0.2158807927</v>
      </c>
      <c r="X28" s="68">
        <f t="shared" si="2"/>
        <v>0.09462223136</v>
      </c>
      <c r="Y28" s="68" t="str">
        <f t="shared" si="2"/>
        <v>#DIV/0!</v>
      </c>
      <c r="Z28" s="68" t="str">
        <f t="shared" si="2"/>
        <v>#DIV/0!</v>
      </c>
    </row>
    <row r="29" ht="15.75" customHeight="1">
      <c r="B29" s="67" t="s">
        <v>17</v>
      </c>
      <c r="C29" s="68">
        <f t="shared" ref="C29:E29" si="3">C$27/$D$27</f>
        <v>1.063047217</v>
      </c>
      <c r="D29" s="68">
        <f t="shared" si="3"/>
        <v>1</v>
      </c>
      <c r="E29" s="68">
        <f t="shared" si="3"/>
        <v>1.380509899</v>
      </c>
      <c r="F29" s="68">
        <f t="shared" ref="F29:Z29" si="4">F$27/$C$27</f>
        <v>0.1111595242</v>
      </c>
      <c r="G29" s="68">
        <f t="shared" si="4"/>
        <v>0.8576694925</v>
      </c>
      <c r="H29" s="68">
        <f t="shared" si="4"/>
        <v>0.7149204214</v>
      </c>
      <c r="I29" s="68">
        <f t="shared" si="4"/>
        <v>0.5102588119</v>
      </c>
      <c r="J29" s="68">
        <f t="shared" si="4"/>
        <v>0.1464012104</v>
      </c>
      <c r="K29" s="68">
        <f t="shared" si="4"/>
        <v>0.1416940849</v>
      </c>
      <c r="L29" s="68">
        <f t="shared" si="4"/>
        <v>0.2916436514</v>
      </c>
      <c r="M29" s="68">
        <f t="shared" si="4"/>
        <v>0.2569706285</v>
      </c>
      <c r="N29" s="68">
        <f t="shared" si="4"/>
        <v>0.09865750859</v>
      </c>
      <c r="O29" s="68">
        <f t="shared" si="4"/>
        <v>0.1425746696</v>
      </c>
      <c r="P29" s="68" t="str">
        <f t="shared" si="4"/>
        <v>#DIV/0!</v>
      </c>
      <c r="Q29" s="68">
        <f t="shared" si="4"/>
        <v>1.000564375</v>
      </c>
      <c r="R29" s="68">
        <f t="shared" si="4"/>
        <v>0.598932428</v>
      </c>
      <c r="S29" s="68">
        <f t="shared" si="4"/>
        <v>0.1993323567</v>
      </c>
      <c r="T29" s="68" t="str">
        <f t="shared" si="4"/>
        <v>#DIV/0!</v>
      </c>
      <c r="U29" s="68" t="str">
        <f t="shared" si="4"/>
        <v>#DIV/0!</v>
      </c>
      <c r="V29" s="68">
        <f t="shared" si="4"/>
        <v>0.4396976735</v>
      </c>
      <c r="W29" s="68">
        <f t="shared" si="4"/>
        <v>0.2408199044</v>
      </c>
      <c r="X29" s="68">
        <f t="shared" si="4"/>
        <v>0.1502597725</v>
      </c>
      <c r="Y29" s="68">
        <f t="shared" si="4"/>
        <v>0.03506328202</v>
      </c>
      <c r="Z29" s="68" t="str">
        <f t="shared" si="4"/>
        <v>#DIV/0!</v>
      </c>
    </row>
    <row r="30" ht="15.75" customHeight="1">
      <c r="B30" s="67" t="s">
        <v>18</v>
      </c>
      <c r="C30" s="68">
        <f t="shared" ref="C30:Z30" si="5">(C27-$C$27)/($C$27)</f>
        <v>0</v>
      </c>
      <c r="D30" s="68">
        <f t="shared" si="5"/>
        <v>-0.0593080121</v>
      </c>
      <c r="E30" s="68">
        <f t="shared" si="5"/>
        <v>0.2986346011</v>
      </c>
      <c r="F30" s="68">
        <f t="shared" si="5"/>
        <v>-0.8888404758</v>
      </c>
      <c r="G30" s="68">
        <f t="shared" si="5"/>
        <v>-0.1423305075</v>
      </c>
      <c r="H30" s="68">
        <f t="shared" si="5"/>
        <v>-0.2850795786</v>
      </c>
      <c r="I30" s="68">
        <f t="shared" si="5"/>
        <v>-0.4897411881</v>
      </c>
      <c r="J30" s="68">
        <f t="shared" si="5"/>
        <v>-0.8535987896</v>
      </c>
      <c r="K30" s="68">
        <f t="shared" si="5"/>
        <v>-0.8583059151</v>
      </c>
      <c r="L30" s="68">
        <f t="shared" si="5"/>
        <v>-0.7083563486</v>
      </c>
      <c r="M30" s="68">
        <f t="shared" si="5"/>
        <v>-0.7430293715</v>
      </c>
      <c r="N30" s="68">
        <f t="shared" si="5"/>
        <v>-0.9013424914</v>
      </c>
      <c r="O30" s="68">
        <f t="shared" si="5"/>
        <v>-0.8574253304</v>
      </c>
      <c r="P30" s="68" t="str">
        <f t="shared" si="5"/>
        <v>#DIV/0!</v>
      </c>
      <c r="Q30" s="68">
        <f t="shared" si="5"/>
        <v>0.0005643747448</v>
      </c>
      <c r="R30" s="68">
        <f t="shared" si="5"/>
        <v>-0.401067572</v>
      </c>
      <c r="S30" s="68">
        <f t="shared" si="5"/>
        <v>-0.8006676433</v>
      </c>
      <c r="T30" s="68" t="str">
        <f t="shared" si="5"/>
        <v>#DIV/0!</v>
      </c>
      <c r="U30" s="68" t="str">
        <f t="shared" si="5"/>
        <v>#DIV/0!</v>
      </c>
      <c r="V30" s="68">
        <f t="shared" si="5"/>
        <v>-0.5603023265</v>
      </c>
      <c r="W30" s="68">
        <f t="shared" si="5"/>
        <v>-0.7591800956</v>
      </c>
      <c r="X30" s="68">
        <f t="shared" si="5"/>
        <v>-0.8497402275</v>
      </c>
      <c r="Y30" s="68">
        <f t="shared" si="5"/>
        <v>-0.964936718</v>
      </c>
      <c r="Z30" s="68" t="str">
        <f t="shared" si="5"/>
        <v>#DIV/0!</v>
      </c>
    </row>
    <row r="31" ht="15.75" customHeight="1"/>
    <row r="32" ht="15.75" customHeight="1">
      <c r="B32" s="69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70" t="s">
        <v>20</v>
      </c>
      <c r="C33" s="71" t="s">
        <v>21</v>
      </c>
      <c r="D33" s="71" t="s">
        <v>22</v>
      </c>
      <c r="E33" s="72" t="s">
        <v>23</v>
      </c>
      <c r="F33" s="73"/>
      <c r="G33" s="72" t="s">
        <v>15</v>
      </c>
      <c r="H33" s="73"/>
      <c r="I33" s="74" t="s">
        <v>24</v>
      </c>
      <c r="J33" s="73"/>
      <c r="K33" s="74" t="s">
        <v>25</v>
      </c>
      <c r="L33" s="73"/>
      <c r="M33" s="74" t="s">
        <v>17</v>
      </c>
      <c r="N33" s="73"/>
      <c r="O33" s="74" t="s">
        <v>26</v>
      </c>
      <c r="P33" s="73"/>
      <c r="Q33" s="74" t="s">
        <v>27</v>
      </c>
      <c r="R33" s="75"/>
      <c r="S33" s="74" t="s">
        <v>18</v>
      </c>
      <c r="T33" s="75"/>
      <c r="U33" s="76"/>
      <c r="V33" s="76"/>
    </row>
    <row r="34" ht="15.75" customHeight="1">
      <c r="B34" s="28"/>
      <c r="C34" s="28"/>
      <c r="D34" s="28"/>
      <c r="E34" s="77"/>
      <c r="F34" s="78"/>
      <c r="G34" s="77"/>
      <c r="H34" s="78"/>
      <c r="I34" s="77"/>
      <c r="J34" s="78"/>
      <c r="K34" s="77"/>
      <c r="L34" s="78"/>
      <c r="M34" s="77"/>
      <c r="N34" s="78"/>
      <c r="O34" s="77"/>
      <c r="P34" s="78"/>
      <c r="Q34" s="77"/>
      <c r="R34" s="79"/>
      <c r="S34" s="77"/>
      <c r="T34" s="79"/>
      <c r="U34" s="76"/>
      <c r="V34" s="76"/>
    </row>
    <row r="35" ht="15.75" customHeight="1">
      <c r="B35" s="80" t="s">
        <v>3</v>
      </c>
      <c r="C35" s="81" t="s">
        <v>8</v>
      </c>
      <c r="D35" s="82">
        <v>1.0</v>
      </c>
      <c r="E35" s="83">
        <v>10.0</v>
      </c>
      <c r="F35" s="78"/>
      <c r="G35" s="84">
        <f>AVERAGE(E35:F36)</f>
        <v>10</v>
      </c>
      <c r="H35" s="85"/>
      <c r="I35" s="84">
        <f>(G35/10)*100</f>
        <v>100</v>
      </c>
      <c r="J35" s="85"/>
      <c r="K35" s="84">
        <f>(G35/$E$35)*100</f>
        <v>100</v>
      </c>
      <c r="L35" s="85"/>
      <c r="M35" s="84">
        <f>C29</f>
        <v>1.063047217</v>
      </c>
      <c r="N35" s="85"/>
      <c r="O35" s="84">
        <f>(K35*M35)/100</f>
        <v>1.063047217</v>
      </c>
      <c r="P35" s="85"/>
      <c r="Q35" s="84">
        <f>(O35-$O$37)/$O$37</f>
        <v>0.1189970708</v>
      </c>
      <c r="R35" s="85"/>
      <c r="S35" s="84">
        <f t="array" ref="S35">INDEX($C$30:$Z$30, INT((ROW(A1)+1)/2))</f>
        <v>0</v>
      </c>
      <c r="T35" s="85"/>
    </row>
    <row r="36" ht="15.75" customHeight="1">
      <c r="B36" s="17"/>
      <c r="C36" s="28"/>
      <c r="D36" s="82">
        <v>2.0</v>
      </c>
      <c r="E36" s="83">
        <v>10.0</v>
      </c>
      <c r="F36" s="78"/>
      <c r="G36" s="79"/>
      <c r="H36" s="78"/>
      <c r="I36" s="79"/>
      <c r="J36" s="78"/>
      <c r="K36" s="79"/>
      <c r="L36" s="78"/>
      <c r="M36" s="79"/>
      <c r="N36" s="78"/>
      <c r="O36" s="79"/>
      <c r="P36" s="78"/>
      <c r="Q36" s="79"/>
      <c r="R36" s="78"/>
      <c r="S36" s="79"/>
      <c r="T36" s="78"/>
    </row>
    <row r="37" ht="15.75" customHeight="1">
      <c r="B37" s="17"/>
      <c r="C37" s="81" t="s">
        <v>9</v>
      </c>
      <c r="D37" s="82">
        <v>1.0</v>
      </c>
      <c r="E37" s="83">
        <v>9.0</v>
      </c>
      <c r="F37" s="78"/>
      <c r="G37" s="84">
        <f>AVERAGE(E37:F38)</f>
        <v>9.5</v>
      </c>
      <c r="H37" s="85"/>
      <c r="I37" s="84">
        <f>(G37/10)*100</f>
        <v>95</v>
      </c>
      <c r="J37" s="85"/>
      <c r="K37" s="84">
        <f>(G37/$E$35)*100</f>
        <v>95</v>
      </c>
      <c r="L37" s="85"/>
      <c r="M37" s="84">
        <f>D29</f>
        <v>1</v>
      </c>
      <c r="N37" s="85"/>
      <c r="O37" s="84">
        <f>(K37*M37)/100</f>
        <v>0.95</v>
      </c>
      <c r="P37" s="85"/>
      <c r="Q37" s="84">
        <f>(O37-$O$37)/$O$37</f>
        <v>0</v>
      </c>
      <c r="R37" s="85"/>
      <c r="S37" s="84">
        <f t="array" ref="S37">INDEX($C$30:$Z$30, INT((ROW(A3)+1)/2))</f>
        <v>-0.0593080121</v>
      </c>
      <c r="T37" s="85"/>
    </row>
    <row r="38" ht="15.75" customHeight="1">
      <c r="B38" s="17"/>
      <c r="C38" s="28"/>
      <c r="D38" s="82">
        <v>2.0</v>
      </c>
      <c r="E38" s="83">
        <v>10.0</v>
      </c>
      <c r="F38" s="78"/>
      <c r="G38" s="79"/>
      <c r="H38" s="78"/>
      <c r="I38" s="79"/>
      <c r="J38" s="78"/>
      <c r="K38" s="79"/>
      <c r="L38" s="78"/>
      <c r="M38" s="79"/>
      <c r="N38" s="78"/>
      <c r="O38" s="79"/>
      <c r="P38" s="78"/>
      <c r="Q38" s="79"/>
      <c r="R38" s="78"/>
      <c r="S38" s="79"/>
      <c r="T38" s="78"/>
    </row>
    <row r="39" ht="15.75" customHeight="1">
      <c r="B39" s="17"/>
      <c r="C39" s="81" t="s">
        <v>10</v>
      </c>
      <c r="D39" s="82">
        <v>1.0</v>
      </c>
      <c r="E39" s="83">
        <v>7.0</v>
      </c>
      <c r="F39" s="78"/>
      <c r="G39" s="84">
        <f>AVERAGE(E39:F40)</f>
        <v>6.5</v>
      </c>
      <c r="H39" s="85"/>
      <c r="I39" s="84">
        <f>(G39/10)*100</f>
        <v>65</v>
      </c>
      <c r="J39" s="85"/>
      <c r="K39" s="84">
        <f>(G39/$E$35)*100</f>
        <v>65</v>
      </c>
      <c r="L39" s="85"/>
      <c r="M39" s="84">
        <f>E29</f>
        <v>1.380509899</v>
      </c>
      <c r="N39" s="85"/>
      <c r="O39" s="84">
        <f>(K39*M39)/100</f>
        <v>0.8973314343</v>
      </c>
      <c r="P39" s="85"/>
      <c r="Q39" s="84">
        <f>(O39-$O$37)/$O$37</f>
        <v>-0.05544059552</v>
      </c>
      <c r="R39" s="85"/>
      <c r="S39" s="84">
        <f t="array" ref="S39">INDEX($C$30:$Z$30, INT((ROW(A5)+1)/2))</f>
        <v>0.2986346011</v>
      </c>
      <c r="T39" s="85"/>
    </row>
    <row r="40" ht="15.75" customHeight="1">
      <c r="B40" s="17"/>
      <c r="C40" s="28"/>
      <c r="D40" s="82">
        <v>2.0</v>
      </c>
      <c r="E40" s="83">
        <v>6.0</v>
      </c>
      <c r="F40" s="78"/>
      <c r="G40" s="79"/>
      <c r="H40" s="78"/>
      <c r="I40" s="79"/>
      <c r="J40" s="78"/>
      <c r="K40" s="79"/>
      <c r="L40" s="78"/>
      <c r="M40" s="79"/>
      <c r="N40" s="78"/>
      <c r="O40" s="79"/>
      <c r="P40" s="78"/>
      <c r="Q40" s="79"/>
      <c r="R40" s="78"/>
      <c r="S40" s="79"/>
      <c r="T40" s="78"/>
    </row>
    <row r="41" ht="15.75" customHeight="1">
      <c r="B41" s="17"/>
      <c r="C41" s="81" t="s">
        <v>11</v>
      </c>
      <c r="D41" s="82">
        <v>1.0</v>
      </c>
      <c r="E41" s="83">
        <v>6.0</v>
      </c>
      <c r="F41" s="78"/>
      <c r="G41" s="84">
        <f>AVERAGE(E41:F42)</f>
        <v>7</v>
      </c>
      <c r="H41" s="85"/>
      <c r="I41" s="84">
        <f>(G41/10)*100</f>
        <v>70</v>
      </c>
      <c r="J41" s="85"/>
      <c r="K41" s="84">
        <f>(G41/$E$35)*100</f>
        <v>70</v>
      </c>
      <c r="L41" s="85"/>
      <c r="M41" s="84">
        <f>F29</f>
        <v>0.1111595242</v>
      </c>
      <c r="N41" s="85"/>
      <c r="O41" s="84">
        <f>(K41*M41)/100</f>
        <v>0.07781166695</v>
      </c>
      <c r="P41" s="85"/>
      <c r="Q41" s="84">
        <f>(O41-$O$37)/$O$37</f>
        <v>-0.9180929822</v>
      </c>
      <c r="R41" s="85"/>
      <c r="S41" s="84">
        <f t="array" ref="S41">INDEX($C$30:$Z$30, INT((ROW(A7)+1)/2))</f>
        <v>-0.8888404758</v>
      </c>
      <c r="T41" s="85"/>
    </row>
    <row r="42" ht="15.75" customHeight="1">
      <c r="B42" s="28"/>
      <c r="C42" s="28"/>
      <c r="D42" s="82">
        <v>2.0</v>
      </c>
      <c r="E42" s="83">
        <v>8.0</v>
      </c>
      <c r="F42" s="78"/>
      <c r="G42" s="79"/>
      <c r="H42" s="78"/>
      <c r="I42" s="79"/>
      <c r="J42" s="78"/>
      <c r="K42" s="79"/>
      <c r="L42" s="78"/>
      <c r="M42" s="79"/>
      <c r="N42" s="78"/>
      <c r="O42" s="79"/>
      <c r="P42" s="78"/>
      <c r="Q42" s="79"/>
      <c r="R42" s="78"/>
      <c r="S42" s="79"/>
      <c r="T42" s="78"/>
    </row>
    <row r="43" ht="15.75" customHeight="1">
      <c r="B43" s="86" t="s">
        <v>4</v>
      </c>
      <c r="C43" s="87">
        <v>0.0</v>
      </c>
      <c r="D43" s="88">
        <v>1.0</v>
      </c>
      <c r="E43" s="83">
        <v>8.0</v>
      </c>
      <c r="F43" s="78"/>
      <c r="G43" s="84">
        <f>AVERAGE(E43:F44)</f>
        <v>8</v>
      </c>
      <c r="H43" s="85"/>
      <c r="I43" s="84">
        <f>(G43/10)*100</f>
        <v>80</v>
      </c>
      <c r="J43" s="85"/>
      <c r="K43" s="84">
        <f>(G43/$E$35)*100</f>
        <v>80</v>
      </c>
      <c r="L43" s="85"/>
      <c r="M43" s="84">
        <f>G29</f>
        <v>0.8576694925</v>
      </c>
      <c r="N43" s="85"/>
      <c r="O43" s="84">
        <f>(K43*M43)/100</f>
        <v>0.686135594</v>
      </c>
      <c r="P43" s="85"/>
      <c r="Q43" s="84">
        <f>(O43-$O$37)/$O$37</f>
        <v>-0.2777520063</v>
      </c>
      <c r="R43" s="85"/>
      <c r="S43" s="84">
        <f t="array" ref="S43">INDEX($C$30:$Z$30, INT((ROW(A9)+1)/2))</f>
        <v>-0.1423305075</v>
      </c>
      <c r="T43" s="85"/>
    </row>
    <row r="44" ht="15.75" customHeight="1">
      <c r="B44" s="17"/>
      <c r="C44" s="28"/>
      <c r="D44" s="88">
        <v>2.0</v>
      </c>
      <c r="E44" s="83">
        <v>8.0</v>
      </c>
      <c r="F44" s="78"/>
      <c r="G44" s="79"/>
      <c r="H44" s="78"/>
      <c r="I44" s="79"/>
      <c r="J44" s="78"/>
      <c r="K44" s="79"/>
      <c r="L44" s="78"/>
      <c r="M44" s="79"/>
      <c r="N44" s="78"/>
      <c r="O44" s="79"/>
      <c r="P44" s="78"/>
      <c r="Q44" s="79"/>
      <c r="R44" s="78"/>
      <c r="S44" s="79"/>
      <c r="T44" s="78"/>
    </row>
    <row r="45" ht="15.75" customHeight="1">
      <c r="B45" s="17"/>
      <c r="C45" s="87">
        <v>25.0</v>
      </c>
      <c r="D45" s="88">
        <v>1.0</v>
      </c>
      <c r="E45" s="83">
        <v>7.0</v>
      </c>
      <c r="F45" s="78"/>
      <c r="G45" s="84">
        <f>AVERAGE(E45:F46)</f>
        <v>7</v>
      </c>
      <c r="H45" s="85"/>
      <c r="I45" s="84">
        <f>(G45/10)*100</f>
        <v>70</v>
      </c>
      <c r="J45" s="85"/>
      <c r="K45" s="84">
        <f>(G45/$E$35)*100</f>
        <v>70</v>
      </c>
      <c r="L45" s="85"/>
      <c r="M45" s="84">
        <f>H29</f>
        <v>0.7149204214</v>
      </c>
      <c r="N45" s="85"/>
      <c r="O45" s="84">
        <f>(K45*M45)/100</f>
        <v>0.500444295</v>
      </c>
      <c r="P45" s="85"/>
      <c r="Q45" s="84">
        <f>(O45-$O$37)/$O$37</f>
        <v>-0.4732165316</v>
      </c>
      <c r="R45" s="85"/>
      <c r="S45" s="84">
        <f t="array" ref="S45">INDEX($C$30:$Z$30, INT((ROW(A11)+1)/2))</f>
        <v>-0.2850795786</v>
      </c>
      <c r="T45" s="85"/>
    </row>
    <row r="46" ht="15.75" customHeight="1">
      <c r="B46" s="17"/>
      <c r="C46" s="28"/>
      <c r="D46" s="88">
        <v>2.0</v>
      </c>
      <c r="E46" s="83">
        <v>7.0</v>
      </c>
      <c r="F46" s="78"/>
      <c r="G46" s="79"/>
      <c r="H46" s="78"/>
      <c r="I46" s="79"/>
      <c r="J46" s="78"/>
      <c r="K46" s="79"/>
      <c r="L46" s="78"/>
      <c r="M46" s="79"/>
      <c r="N46" s="78"/>
      <c r="O46" s="79"/>
      <c r="P46" s="78"/>
      <c r="Q46" s="79"/>
      <c r="R46" s="78"/>
      <c r="S46" s="79"/>
      <c r="T46" s="78"/>
    </row>
    <row r="47" ht="15.75" customHeight="1">
      <c r="B47" s="17"/>
      <c r="C47" s="87">
        <v>50.0</v>
      </c>
      <c r="D47" s="88">
        <v>1.0</v>
      </c>
      <c r="E47" s="83">
        <v>8.0</v>
      </c>
      <c r="F47" s="78"/>
      <c r="G47" s="84">
        <f>AVERAGE(E47:F48)</f>
        <v>7.5</v>
      </c>
      <c r="H47" s="85"/>
      <c r="I47" s="84">
        <f>(G47/10)*100</f>
        <v>75</v>
      </c>
      <c r="J47" s="85"/>
      <c r="K47" s="84">
        <f>(G47/$E$35)*100</f>
        <v>75</v>
      </c>
      <c r="L47" s="85"/>
      <c r="M47" s="84">
        <f>I29</f>
        <v>0.5102588119</v>
      </c>
      <c r="N47" s="85"/>
      <c r="O47" s="84">
        <f>(K47*M47)/100</f>
        <v>0.3826941089</v>
      </c>
      <c r="P47" s="85"/>
      <c r="Q47" s="84">
        <f>(O47-$O$37)/$O$37</f>
        <v>-0.5971640959</v>
      </c>
      <c r="R47" s="85"/>
      <c r="S47" s="84">
        <f t="array" ref="S47">INDEX($C$30:$Z$30, INT((ROW(A13)+1)/2))</f>
        <v>-0.4897411881</v>
      </c>
      <c r="T47" s="85"/>
    </row>
    <row r="48" ht="15.75" customHeight="1">
      <c r="B48" s="17"/>
      <c r="C48" s="28"/>
      <c r="D48" s="88">
        <v>2.0</v>
      </c>
      <c r="E48" s="83">
        <v>7.0</v>
      </c>
      <c r="F48" s="78"/>
      <c r="G48" s="79"/>
      <c r="H48" s="78"/>
      <c r="I48" s="79"/>
      <c r="J48" s="78"/>
      <c r="K48" s="79"/>
      <c r="L48" s="78"/>
      <c r="M48" s="79"/>
      <c r="N48" s="78"/>
      <c r="O48" s="79"/>
      <c r="P48" s="78"/>
      <c r="Q48" s="79"/>
      <c r="R48" s="78"/>
      <c r="S48" s="79"/>
      <c r="T48" s="78"/>
    </row>
    <row r="49" ht="15.75" customHeight="1">
      <c r="B49" s="17"/>
      <c r="C49" s="87">
        <v>75.0</v>
      </c>
      <c r="D49" s="88">
        <v>1.0</v>
      </c>
      <c r="E49" s="83">
        <v>2.0</v>
      </c>
      <c r="F49" s="78"/>
      <c r="G49" s="84">
        <f>AVERAGE(E49:F50)</f>
        <v>2.5</v>
      </c>
      <c r="H49" s="85"/>
      <c r="I49" s="84">
        <f>(G49/10)*100</f>
        <v>25</v>
      </c>
      <c r="J49" s="85"/>
      <c r="K49" s="84">
        <f>(G49/$E$35)*100</f>
        <v>25</v>
      </c>
      <c r="L49" s="85"/>
      <c r="M49" s="84">
        <f>J29</f>
        <v>0.1464012104</v>
      </c>
      <c r="N49" s="85"/>
      <c r="O49" s="84">
        <f>(K49*M49)/100</f>
        <v>0.0366003026</v>
      </c>
      <c r="P49" s="85"/>
      <c r="Q49" s="84">
        <f>(O49-$O$37)/$O$37</f>
        <v>-0.9614733657</v>
      </c>
      <c r="R49" s="85"/>
      <c r="S49" s="84">
        <f t="array" ref="S49">INDEX($C$30:$Z$30, INT((ROW(A15)+1)/2))</f>
        <v>-0.8535987896</v>
      </c>
      <c r="T49" s="85"/>
    </row>
    <row r="50" ht="15.75" customHeight="1">
      <c r="A50" s="89"/>
      <c r="B50" s="17"/>
      <c r="C50" s="28"/>
      <c r="D50" s="88">
        <v>2.0</v>
      </c>
      <c r="E50" s="83">
        <v>3.0</v>
      </c>
      <c r="F50" s="78"/>
      <c r="G50" s="79"/>
      <c r="H50" s="78"/>
      <c r="I50" s="79"/>
      <c r="J50" s="78"/>
      <c r="K50" s="79"/>
      <c r="L50" s="78"/>
      <c r="M50" s="79"/>
      <c r="N50" s="78"/>
      <c r="O50" s="79"/>
      <c r="P50" s="78"/>
      <c r="Q50" s="79"/>
      <c r="R50" s="78"/>
      <c r="S50" s="79"/>
      <c r="T50" s="78"/>
    </row>
    <row r="51" ht="15.75" customHeight="1">
      <c r="A51" s="89"/>
      <c r="B51" s="17"/>
      <c r="C51" s="87">
        <v>100.0</v>
      </c>
      <c r="D51" s="88">
        <v>1.0</v>
      </c>
      <c r="E51" s="90">
        <v>1.0</v>
      </c>
      <c r="F51" s="10"/>
      <c r="G51" s="84">
        <f>AVERAGE(E51:F52)</f>
        <v>1</v>
      </c>
      <c r="H51" s="85"/>
      <c r="I51" s="84">
        <f>(G51/10)*100</f>
        <v>10</v>
      </c>
      <c r="J51" s="85"/>
      <c r="K51" s="84">
        <f>(G51/$E$35)*100</f>
        <v>10</v>
      </c>
      <c r="L51" s="85"/>
      <c r="M51" s="84">
        <f>K29</f>
        <v>0.1416940849</v>
      </c>
      <c r="N51" s="85"/>
      <c r="O51" s="84">
        <f>(K51*M51)/100</f>
        <v>0.01416940849</v>
      </c>
      <c r="P51" s="85"/>
      <c r="Q51" s="84">
        <f>(O51-$O$37)/$O$37</f>
        <v>-0.9850848332</v>
      </c>
      <c r="R51" s="85"/>
      <c r="S51" s="84">
        <f t="array" ref="S51">INDEX($C$30:$Z$30, INT((ROW(A17)+1)/2))</f>
        <v>-0.8583059151</v>
      </c>
      <c r="T51" s="85"/>
    </row>
    <row r="52" ht="15.75" customHeight="1">
      <c r="A52" s="89"/>
      <c r="B52" s="28"/>
      <c r="C52" s="28"/>
      <c r="D52" s="88">
        <v>2.0</v>
      </c>
      <c r="E52" s="91"/>
      <c r="F52" s="10"/>
      <c r="G52" s="79"/>
      <c r="H52" s="78"/>
      <c r="I52" s="79"/>
      <c r="J52" s="78"/>
      <c r="K52" s="79"/>
      <c r="L52" s="78"/>
      <c r="M52" s="79"/>
      <c r="N52" s="78"/>
      <c r="O52" s="79"/>
      <c r="P52" s="78"/>
      <c r="Q52" s="79"/>
      <c r="R52" s="78"/>
      <c r="S52" s="79"/>
      <c r="T52" s="78"/>
    </row>
    <row r="53" ht="15.75" customHeight="1">
      <c r="A53" s="89"/>
      <c r="B53" s="92" t="s">
        <v>5</v>
      </c>
      <c r="C53" s="93">
        <v>0.0</v>
      </c>
      <c r="D53" s="94">
        <v>1.0</v>
      </c>
      <c r="E53" s="90">
        <v>8.0</v>
      </c>
      <c r="F53" s="10"/>
      <c r="G53" s="84">
        <f>AVERAGE(E53:F54)</f>
        <v>8</v>
      </c>
      <c r="H53" s="85"/>
      <c r="I53" s="84">
        <f>(G53/10)*100</f>
        <v>80</v>
      </c>
      <c r="J53" s="85"/>
      <c r="K53" s="84">
        <f>(G53/$E$35)*100</f>
        <v>80</v>
      </c>
      <c r="L53" s="85"/>
      <c r="M53" s="84">
        <f>L29</f>
        <v>0.2916436514</v>
      </c>
      <c r="N53" s="85"/>
      <c r="O53" s="84">
        <f>(K53*M53)/100</f>
        <v>0.2333149211</v>
      </c>
      <c r="P53" s="85"/>
      <c r="Q53" s="84">
        <f>(O53-$O$37)/$O$37</f>
        <v>-0.7544053462</v>
      </c>
      <c r="R53" s="85"/>
      <c r="S53" s="84">
        <f t="array" ref="S53">INDEX($C$30:$Z$30, INT((ROW(A19)+1)/2))</f>
        <v>-0.7083563486</v>
      </c>
      <c r="T53" s="85"/>
    </row>
    <row r="54" ht="15.75" customHeight="1">
      <c r="A54" s="89"/>
      <c r="B54" s="17"/>
      <c r="C54" s="28"/>
      <c r="D54" s="94">
        <v>2.0</v>
      </c>
      <c r="E54" s="90">
        <v>8.0</v>
      </c>
      <c r="F54" s="10"/>
      <c r="G54" s="79"/>
      <c r="H54" s="78"/>
      <c r="I54" s="79"/>
      <c r="J54" s="78"/>
      <c r="K54" s="79"/>
      <c r="L54" s="78"/>
      <c r="M54" s="79"/>
      <c r="N54" s="78"/>
      <c r="O54" s="79"/>
      <c r="P54" s="78"/>
      <c r="Q54" s="79"/>
      <c r="R54" s="78"/>
      <c r="S54" s="79"/>
      <c r="T54" s="78"/>
    </row>
    <row r="55" ht="15.75" customHeight="1">
      <c r="A55" s="89"/>
      <c r="B55" s="17"/>
      <c r="C55" s="93">
        <v>25.0</v>
      </c>
      <c r="D55" s="94">
        <v>1.0</v>
      </c>
      <c r="E55" s="90">
        <v>5.0</v>
      </c>
      <c r="F55" s="10"/>
      <c r="G55" s="84">
        <f>AVERAGE(E55:F56)</f>
        <v>6.5</v>
      </c>
      <c r="H55" s="85"/>
      <c r="I55" s="84">
        <f>(G55/10)*100</f>
        <v>65</v>
      </c>
      <c r="J55" s="85"/>
      <c r="K55" s="84">
        <f>(G55/$E$35)*100</f>
        <v>65</v>
      </c>
      <c r="L55" s="85"/>
      <c r="M55" s="84">
        <f>M29</f>
        <v>0.2569706285</v>
      </c>
      <c r="N55" s="85"/>
      <c r="O55" s="84">
        <f>(K55*M55)/100</f>
        <v>0.1670309085</v>
      </c>
      <c r="P55" s="85"/>
      <c r="Q55" s="84">
        <f>(O55-$O$37)/$O$37</f>
        <v>-0.824177991</v>
      </c>
      <c r="R55" s="85"/>
      <c r="S55" s="84">
        <f t="array" ref="S55">INDEX($C$30:$Z$30, INT((ROW(A21)+1)/2))</f>
        <v>-0.7430293715</v>
      </c>
      <c r="T55" s="85"/>
    </row>
    <row r="56" ht="15.75" customHeight="1">
      <c r="A56" s="89"/>
      <c r="B56" s="17"/>
      <c r="C56" s="28"/>
      <c r="D56" s="94">
        <v>2.0</v>
      </c>
      <c r="E56" s="90">
        <v>8.0</v>
      </c>
      <c r="F56" s="10"/>
      <c r="G56" s="79"/>
      <c r="H56" s="78"/>
      <c r="I56" s="79"/>
      <c r="J56" s="78"/>
      <c r="K56" s="79"/>
      <c r="L56" s="78"/>
      <c r="M56" s="79"/>
      <c r="N56" s="78"/>
      <c r="O56" s="79"/>
      <c r="P56" s="78"/>
      <c r="Q56" s="79"/>
      <c r="R56" s="78"/>
      <c r="S56" s="79"/>
      <c r="T56" s="78"/>
    </row>
    <row r="57" ht="15.75" customHeight="1">
      <c r="A57" s="89"/>
      <c r="B57" s="17"/>
      <c r="C57" s="93">
        <v>50.0</v>
      </c>
      <c r="D57" s="94">
        <v>1.0</v>
      </c>
      <c r="E57" s="90">
        <v>2.0</v>
      </c>
      <c r="F57" s="10"/>
      <c r="G57" s="84">
        <f>AVERAGE(E57:F58)</f>
        <v>2.5</v>
      </c>
      <c r="H57" s="85"/>
      <c r="I57" s="84">
        <f>(G57/10)*100</f>
        <v>25</v>
      </c>
      <c r="J57" s="85"/>
      <c r="K57" s="84">
        <f>(G57/$E$35)*100</f>
        <v>25</v>
      </c>
      <c r="L57" s="85"/>
      <c r="M57" s="84">
        <f>N29</f>
        <v>0.09865750859</v>
      </c>
      <c r="N57" s="85"/>
      <c r="O57" s="84">
        <f>(K57*M57)/100</f>
        <v>0.02466437715</v>
      </c>
      <c r="P57" s="85"/>
      <c r="Q57" s="84">
        <f>(O57-$O$37)/$O$37</f>
        <v>-0.9740374977</v>
      </c>
      <c r="R57" s="85"/>
      <c r="S57" s="84">
        <f t="array" ref="S57">INDEX($C$30:$Z$30, INT((ROW(A23)+1)/2))</f>
        <v>-0.9013424914</v>
      </c>
      <c r="T57" s="85"/>
    </row>
    <row r="58" ht="15.75" customHeight="1">
      <c r="A58" s="89"/>
      <c r="B58" s="17"/>
      <c r="C58" s="28"/>
      <c r="D58" s="94">
        <v>2.0</v>
      </c>
      <c r="E58" s="90">
        <v>3.0</v>
      </c>
      <c r="F58" s="10"/>
      <c r="G58" s="79"/>
      <c r="H58" s="78"/>
      <c r="I58" s="79"/>
      <c r="J58" s="78"/>
      <c r="K58" s="79"/>
      <c r="L58" s="78"/>
      <c r="M58" s="79"/>
      <c r="N58" s="78"/>
      <c r="O58" s="79"/>
      <c r="P58" s="78"/>
      <c r="Q58" s="79"/>
      <c r="R58" s="78"/>
      <c r="S58" s="79"/>
      <c r="T58" s="78"/>
    </row>
    <row r="59" ht="15.75" customHeight="1">
      <c r="A59" s="95"/>
      <c r="B59" s="17"/>
      <c r="C59" s="93">
        <v>75.0</v>
      </c>
      <c r="D59" s="94">
        <v>1.0</v>
      </c>
      <c r="E59" s="90"/>
      <c r="F59" s="10"/>
      <c r="G59" s="84" t="str">
        <f>AVERAGE(E59:F60)</f>
        <v>#DIV/0!</v>
      </c>
      <c r="H59" s="85"/>
      <c r="I59" s="84" t="str">
        <f>(G59/10)*100</f>
        <v>#DIV/0!</v>
      </c>
      <c r="J59" s="85"/>
      <c r="K59" s="84" t="str">
        <f>(G59/$E$35)*100</f>
        <v>#DIV/0!</v>
      </c>
      <c r="L59" s="85"/>
      <c r="M59" s="84">
        <f>O29</f>
        <v>0.1425746696</v>
      </c>
      <c r="N59" s="85"/>
      <c r="O59" s="84" t="str">
        <f>(K59*M59)/100</f>
        <v>#DIV/0!</v>
      </c>
      <c r="P59" s="85"/>
      <c r="Q59" s="84" t="str">
        <f>(O59-$O$37)/$O$37</f>
        <v>#DIV/0!</v>
      </c>
      <c r="R59" s="85"/>
      <c r="S59" s="84">
        <f t="array" ref="S59">INDEX($C$30:$Z$30, INT((ROW(A25)+1)/2))</f>
        <v>-0.8574253304</v>
      </c>
      <c r="T59" s="85"/>
    </row>
    <row r="60" ht="15.75" customHeight="1">
      <c r="A60" s="95"/>
      <c r="B60" s="17"/>
      <c r="C60" s="28"/>
      <c r="D60" s="94">
        <v>2.0</v>
      </c>
      <c r="E60" s="90"/>
      <c r="F60" s="10"/>
      <c r="G60" s="79"/>
      <c r="H60" s="78"/>
      <c r="I60" s="79"/>
      <c r="J60" s="78"/>
      <c r="K60" s="79"/>
      <c r="L60" s="78"/>
      <c r="M60" s="79"/>
      <c r="N60" s="78"/>
      <c r="O60" s="79"/>
      <c r="P60" s="78"/>
      <c r="Q60" s="79"/>
      <c r="R60" s="78"/>
      <c r="S60" s="79"/>
      <c r="T60" s="78"/>
    </row>
    <row r="61" ht="15.75" customHeight="1">
      <c r="B61" s="17"/>
      <c r="C61" s="93">
        <v>100.0</v>
      </c>
      <c r="D61" s="94">
        <v>1.0</v>
      </c>
      <c r="E61" s="91"/>
      <c r="F61" s="10"/>
      <c r="G61" s="84" t="str">
        <f>AVERAGE(E61:F62)</f>
        <v>#DIV/0!</v>
      </c>
      <c r="H61" s="85"/>
      <c r="I61" s="84" t="str">
        <f>(G61/10)*100</f>
        <v>#DIV/0!</v>
      </c>
      <c r="J61" s="85"/>
      <c r="K61" s="84" t="str">
        <f>(G61/$E$35)*100</f>
        <v>#DIV/0!</v>
      </c>
      <c r="L61" s="85"/>
      <c r="M61" s="84" t="str">
        <f>P29</f>
        <v>#DIV/0!</v>
      </c>
      <c r="N61" s="85"/>
      <c r="O61" s="84" t="str">
        <f>(K61*M61)/100</f>
        <v>#DIV/0!</v>
      </c>
      <c r="P61" s="85"/>
      <c r="Q61" s="84" t="str">
        <f>(O61-$O$37)/$O$37</f>
        <v>#DIV/0!</v>
      </c>
      <c r="R61" s="85"/>
      <c r="S61" s="84" t="str">
        <f t="array" ref="S61">INDEX($C$30:$Z$30, INT((ROW(A27)+1)/2))</f>
        <v>#DIV/0!</v>
      </c>
      <c r="T61" s="85"/>
    </row>
    <row r="62" ht="15.75" customHeight="1">
      <c r="B62" s="28"/>
      <c r="C62" s="28"/>
      <c r="D62" s="94">
        <v>2.0</v>
      </c>
      <c r="E62" s="91"/>
      <c r="F62" s="10"/>
      <c r="G62" s="79"/>
      <c r="H62" s="78"/>
      <c r="I62" s="79"/>
      <c r="J62" s="78"/>
      <c r="K62" s="79"/>
      <c r="L62" s="78"/>
      <c r="M62" s="79"/>
      <c r="N62" s="78"/>
      <c r="O62" s="79"/>
      <c r="P62" s="78"/>
      <c r="Q62" s="79"/>
      <c r="R62" s="78"/>
      <c r="S62" s="79"/>
      <c r="T62" s="78"/>
    </row>
    <row r="63" ht="15.75" customHeight="1">
      <c r="B63" s="96" t="s">
        <v>6</v>
      </c>
      <c r="C63" s="97">
        <v>0.0</v>
      </c>
      <c r="D63" s="98">
        <v>1.0</v>
      </c>
      <c r="E63" s="90">
        <v>7.0</v>
      </c>
      <c r="F63" s="10"/>
      <c r="G63" s="84">
        <f>AVERAGE(E63:F64)</f>
        <v>8</v>
      </c>
      <c r="H63" s="85"/>
      <c r="I63" s="84">
        <f>(G63/10)*100</f>
        <v>80</v>
      </c>
      <c r="J63" s="85"/>
      <c r="K63" s="84">
        <f>(G63/$E$35)*100</f>
        <v>80</v>
      </c>
      <c r="L63" s="85"/>
      <c r="M63" s="84">
        <f>Q29</f>
        <v>1.000564375</v>
      </c>
      <c r="N63" s="85"/>
      <c r="O63" s="84">
        <f>(K63*M63)/100</f>
        <v>0.8004514998</v>
      </c>
      <c r="P63" s="85"/>
      <c r="Q63" s="84">
        <f>(O63-$O$37)/$O$37</f>
        <v>-0.1574194739</v>
      </c>
      <c r="R63" s="85"/>
      <c r="S63" s="84">
        <f t="array" ref="S63">INDEX($C$30:$Z$30, INT((ROW(A29)+1)/2))</f>
        <v>0.0005643747448</v>
      </c>
      <c r="T63" s="85"/>
    </row>
    <row r="64" ht="15.75" customHeight="1">
      <c r="B64" s="17"/>
      <c r="C64" s="28"/>
      <c r="D64" s="98">
        <v>2.0</v>
      </c>
      <c r="E64" s="90">
        <v>9.0</v>
      </c>
      <c r="F64" s="10"/>
      <c r="G64" s="79"/>
      <c r="H64" s="78"/>
      <c r="I64" s="79"/>
      <c r="J64" s="78"/>
      <c r="K64" s="79"/>
      <c r="L64" s="78"/>
      <c r="M64" s="79"/>
      <c r="N64" s="78"/>
      <c r="O64" s="79"/>
      <c r="P64" s="78"/>
      <c r="Q64" s="79"/>
      <c r="R64" s="78"/>
      <c r="S64" s="79"/>
      <c r="T64" s="78"/>
    </row>
    <row r="65" ht="15.75" customHeight="1">
      <c r="B65" s="17"/>
      <c r="C65" s="97">
        <v>25.0</v>
      </c>
      <c r="D65" s="98">
        <v>1.0</v>
      </c>
      <c r="E65" s="90">
        <v>10.0</v>
      </c>
      <c r="F65" s="10"/>
      <c r="G65" s="84">
        <f>AVERAGE(E65:F66)</f>
        <v>9.5</v>
      </c>
      <c r="H65" s="85"/>
      <c r="I65" s="84">
        <f>(G65/10)*100</f>
        <v>95</v>
      </c>
      <c r="J65" s="85"/>
      <c r="K65" s="84">
        <f>(G65/$E$35)*100</f>
        <v>95</v>
      </c>
      <c r="L65" s="85"/>
      <c r="M65" s="84">
        <f>R29</f>
        <v>0.598932428</v>
      </c>
      <c r="N65" s="85"/>
      <c r="O65" s="84">
        <f>(K65*M65)/100</f>
        <v>0.5689858066</v>
      </c>
      <c r="P65" s="85"/>
      <c r="Q65" s="84">
        <f>(O65-$O$37)/$O$37</f>
        <v>-0.401067572</v>
      </c>
      <c r="R65" s="85"/>
      <c r="S65" s="84">
        <f t="array" ref="S65">INDEX($C$30:$Z$30, INT((ROW(A31)+1)/2))</f>
        <v>-0.401067572</v>
      </c>
      <c r="T65" s="85"/>
    </row>
    <row r="66" ht="15.75" customHeight="1">
      <c r="B66" s="17"/>
      <c r="C66" s="28"/>
      <c r="D66" s="98">
        <v>2.0</v>
      </c>
      <c r="E66" s="90">
        <v>9.0</v>
      </c>
      <c r="F66" s="10"/>
      <c r="G66" s="79"/>
      <c r="H66" s="78"/>
      <c r="I66" s="79"/>
      <c r="J66" s="78"/>
      <c r="K66" s="79"/>
      <c r="L66" s="78"/>
      <c r="M66" s="79"/>
      <c r="N66" s="78"/>
      <c r="O66" s="79"/>
      <c r="P66" s="78"/>
      <c r="Q66" s="79"/>
      <c r="R66" s="78"/>
      <c r="S66" s="79"/>
      <c r="T66" s="78"/>
    </row>
    <row r="67" ht="15.75" customHeight="1">
      <c r="B67" s="17"/>
      <c r="C67" s="97">
        <v>50.0</v>
      </c>
      <c r="D67" s="98">
        <v>1.0</v>
      </c>
      <c r="E67" s="90">
        <v>4.0</v>
      </c>
      <c r="F67" s="10"/>
      <c r="G67" s="84">
        <f>AVERAGE(E67:F68)</f>
        <v>4</v>
      </c>
      <c r="H67" s="85"/>
      <c r="I67" s="84">
        <f>(G67/10)*100</f>
        <v>40</v>
      </c>
      <c r="J67" s="85"/>
      <c r="K67" s="84">
        <f>(G67/$E$35)*100</f>
        <v>40</v>
      </c>
      <c r="L67" s="85"/>
      <c r="M67" s="84">
        <f>S29</f>
        <v>0.1993323567</v>
      </c>
      <c r="N67" s="85"/>
      <c r="O67" s="84">
        <f>(K67*M67)/100</f>
        <v>0.07973294267</v>
      </c>
      <c r="P67" s="85"/>
      <c r="Q67" s="84">
        <f>(O67-$O$37)/$O$37</f>
        <v>-0.9160705867</v>
      </c>
      <c r="R67" s="85"/>
      <c r="S67" s="84">
        <f t="array" ref="S67">INDEX($C$30:$Z$30, INT((ROW(A33)+1)/2))</f>
        <v>-0.8006676433</v>
      </c>
      <c r="T67" s="85"/>
    </row>
    <row r="68" ht="15.75" customHeight="1">
      <c r="B68" s="17"/>
      <c r="C68" s="28"/>
      <c r="D68" s="98">
        <v>2.0</v>
      </c>
      <c r="E68" s="90">
        <v>4.0</v>
      </c>
      <c r="F68" s="10"/>
      <c r="G68" s="79"/>
      <c r="H68" s="78"/>
      <c r="I68" s="79"/>
      <c r="J68" s="78"/>
      <c r="K68" s="79"/>
      <c r="L68" s="78"/>
      <c r="M68" s="79"/>
      <c r="N68" s="78"/>
      <c r="O68" s="79"/>
      <c r="P68" s="78"/>
      <c r="Q68" s="79"/>
      <c r="R68" s="78"/>
      <c r="S68" s="79"/>
      <c r="T68" s="78"/>
    </row>
    <row r="69" ht="15.75" customHeight="1">
      <c r="B69" s="17"/>
      <c r="C69" s="97">
        <v>75.0</v>
      </c>
      <c r="D69" s="98">
        <v>1.0</v>
      </c>
      <c r="E69" s="90">
        <v>3.0</v>
      </c>
      <c r="F69" s="10"/>
      <c r="G69" s="84">
        <f>AVERAGE(E69:F70)</f>
        <v>3</v>
      </c>
      <c r="H69" s="85"/>
      <c r="I69" s="84">
        <f>(G69/10)*100</f>
        <v>30</v>
      </c>
      <c r="J69" s="85"/>
      <c r="K69" s="84">
        <f>(G69/$E$35)*100</f>
        <v>30</v>
      </c>
      <c r="L69" s="85"/>
      <c r="M69" s="84" t="str">
        <f>T29</f>
        <v>#DIV/0!</v>
      </c>
      <c r="N69" s="85"/>
      <c r="O69" s="84" t="str">
        <f>(K69*M69)/100</f>
        <v>#DIV/0!</v>
      </c>
      <c r="P69" s="85"/>
      <c r="Q69" s="84" t="str">
        <f>(O69-$O$37)/$O$37</f>
        <v>#DIV/0!</v>
      </c>
      <c r="R69" s="85"/>
      <c r="S69" s="84" t="str">
        <f t="array" ref="S69">INDEX($C$30:$Z$30, INT((ROW(A35)+1)/2))</f>
        <v>#DIV/0!</v>
      </c>
      <c r="T69" s="85"/>
    </row>
    <row r="70" ht="15.75" customHeight="1">
      <c r="B70" s="17"/>
      <c r="C70" s="28"/>
      <c r="D70" s="98">
        <v>2.0</v>
      </c>
      <c r="E70" s="90">
        <v>3.0</v>
      </c>
      <c r="F70" s="10"/>
      <c r="G70" s="79"/>
      <c r="H70" s="78"/>
      <c r="I70" s="79"/>
      <c r="J70" s="78"/>
      <c r="K70" s="79"/>
      <c r="L70" s="78"/>
      <c r="M70" s="79"/>
      <c r="N70" s="78"/>
      <c r="O70" s="79"/>
      <c r="P70" s="78"/>
      <c r="Q70" s="79"/>
      <c r="R70" s="78"/>
      <c r="S70" s="79"/>
      <c r="T70" s="78"/>
    </row>
    <row r="71" ht="15.75" customHeight="1">
      <c r="B71" s="17"/>
      <c r="C71" s="97">
        <v>100.0</v>
      </c>
      <c r="D71" s="98">
        <v>1.0</v>
      </c>
      <c r="E71" s="91"/>
      <c r="F71" s="10"/>
      <c r="G71" s="84" t="str">
        <f>AVERAGE(E71:F72)</f>
        <v>#DIV/0!</v>
      </c>
      <c r="H71" s="85"/>
      <c r="I71" s="84" t="str">
        <f>(G71/10)*100</f>
        <v>#DIV/0!</v>
      </c>
      <c r="J71" s="85"/>
      <c r="K71" s="84" t="str">
        <f>(G71/$E$35)*100</f>
        <v>#DIV/0!</v>
      </c>
      <c r="L71" s="85"/>
      <c r="M71" s="84" t="str">
        <f>U29</f>
        <v>#DIV/0!</v>
      </c>
      <c r="N71" s="85"/>
      <c r="O71" s="84" t="str">
        <f>(K71*M71)/100</f>
        <v>#DIV/0!</v>
      </c>
      <c r="P71" s="85"/>
      <c r="Q71" s="84" t="str">
        <f>(O71-$O$37)/$O$37</f>
        <v>#DIV/0!</v>
      </c>
      <c r="R71" s="85"/>
      <c r="S71" s="84" t="str">
        <f t="array" ref="S71">INDEX($C$30:$Z$30, INT((ROW(A37)+1)/2))</f>
        <v>#DIV/0!</v>
      </c>
      <c r="T71" s="85"/>
    </row>
    <row r="72" ht="15.75" customHeight="1">
      <c r="B72" s="28"/>
      <c r="C72" s="28"/>
      <c r="D72" s="98">
        <v>2.0</v>
      </c>
      <c r="E72" s="91"/>
      <c r="F72" s="10"/>
      <c r="G72" s="79"/>
      <c r="H72" s="78"/>
      <c r="I72" s="79"/>
      <c r="J72" s="78"/>
      <c r="K72" s="79"/>
      <c r="L72" s="78"/>
      <c r="M72" s="79"/>
      <c r="N72" s="78"/>
      <c r="O72" s="79"/>
      <c r="P72" s="78"/>
      <c r="Q72" s="79"/>
      <c r="R72" s="78"/>
      <c r="S72" s="79"/>
      <c r="T72" s="78"/>
    </row>
    <row r="73" ht="15.75" customHeight="1">
      <c r="B73" s="99" t="s">
        <v>7</v>
      </c>
      <c r="C73" s="100">
        <v>0.0</v>
      </c>
      <c r="D73" s="101">
        <v>1.0</v>
      </c>
      <c r="E73" s="90">
        <v>7.0</v>
      </c>
      <c r="F73" s="10"/>
      <c r="G73" s="84">
        <f>AVERAGE(E73:F74)</f>
        <v>7</v>
      </c>
      <c r="H73" s="85"/>
      <c r="I73" s="84">
        <f>(G73/10)*100</f>
        <v>70</v>
      </c>
      <c r="J73" s="85"/>
      <c r="K73" s="84">
        <f>(G73/$E$35)*100</f>
        <v>70</v>
      </c>
      <c r="L73" s="85"/>
      <c r="M73" s="84">
        <f>V29</f>
        <v>0.4396976735</v>
      </c>
      <c r="N73" s="85"/>
      <c r="O73" s="84">
        <f>(K73*M73)/100</f>
        <v>0.3077883715</v>
      </c>
      <c r="P73" s="85"/>
      <c r="Q73" s="84">
        <f>(O73-$O$37)/$O$37</f>
        <v>-0.6760122405</v>
      </c>
      <c r="R73" s="85"/>
      <c r="S73" s="84">
        <f t="array" ref="S73">INDEX($C$30:$Z$30, INT((ROW(A39)+1)/2))</f>
        <v>-0.5603023265</v>
      </c>
      <c r="T73" s="85"/>
    </row>
    <row r="74" ht="15.75" customHeight="1">
      <c r="B74" s="17"/>
      <c r="C74" s="28"/>
      <c r="D74" s="101">
        <v>2.0</v>
      </c>
      <c r="E74" s="90">
        <v>7.0</v>
      </c>
      <c r="F74" s="10"/>
      <c r="G74" s="79"/>
      <c r="H74" s="78"/>
      <c r="I74" s="79"/>
      <c r="J74" s="78"/>
      <c r="K74" s="79"/>
      <c r="L74" s="78"/>
      <c r="M74" s="79"/>
      <c r="N74" s="78"/>
      <c r="O74" s="79"/>
      <c r="P74" s="78"/>
      <c r="Q74" s="79"/>
      <c r="R74" s="78"/>
      <c r="S74" s="79"/>
      <c r="T74" s="78"/>
    </row>
    <row r="75" ht="15.75" customHeight="1">
      <c r="B75" s="17"/>
      <c r="C75" s="100">
        <v>25.0</v>
      </c>
      <c r="D75" s="101">
        <v>1.0</v>
      </c>
      <c r="E75" s="90">
        <v>8.0</v>
      </c>
      <c r="F75" s="10"/>
      <c r="G75" s="84">
        <f>AVERAGE(E75:F76)</f>
        <v>8</v>
      </c>
      <c r="H75" s="85"/>
      <c r="I75" s="84">
        <f>(G75/10)*100</f>
        <v>80</v>
      </c>
      <c r="J75" s="85"/>
      <c r="K75" s="84">
        <f>(G75/$E$35)*100</f>
        <v>80</v>
      </c>
      <c r="L75" s="85"/>
      <c r="M75" s="84">
        <f>W29</f>
        <v>0.2408199044</v>
      </c>
      <c r="N75" s="85"/>
      <c r="O75" s="84">
        <f>(K75*M75)/100</f>
        <v>0.1926559235</v>
      </c>
      <c r="P75" s="85"/>
      <c r="Q75" s="84">
        <f>(O75-$O$37)/$O$37</f>
        <v>-0.797204291</v>
      </c>
      <c r="R75" s="85"/>
      <c r="S75" s="84">
        <f t="array" ref="S75">INDEX($C$30:$Z$30, INT((ROW(A41)+1)/2))</f>
        <v>-0.7591800956</v>
      </c>
      <c r="T75" s="85"/>
    </row>
    <row r="76" ht="15.75" customHeight="1">
      <c r="B76" s="17"/>
      <c r="C76" s="28"/>
      <c r="D76" s="101">
        <v>2.0</v>
      </c>
      <c r="E76" s="90">
        <v>8.0</v>
      </c>
      <c r="F76" s="10"/>
      <c r="G76" s="79"/>
      <c r="H76" s="78"/>
      <c r="I76" s="79"/>
      <c r="J76" s="78"/>
      <c r="K76" s="79"/>
      <c r="L76" s="78"/>
      <c r="M76" s="79"/>
      <c r="N76" s="78"/>
      <c r="O76" s="79"/>
      <c r="P76" s="78"/>
      <c r="Q76" s="79"/>
      <c r="R76" s="78"/>
      <c r="S76" s="79"/>
      <c r="T76" s="78"/>
    </row>
    <row r="77" ht="15.75" customHeight="1">
      <c r="B77" s="17"/>
      <c r="C77" s="100">
        <v>50.0</v>
      </c>
      <c r="D77" s="101">
        <v>1.0</v>
      </c>
      <c r="E77" s="90">
        <v>4.0</v>
      </c>
      <c r="F77" s="10"/>
      <c r="G77" s="84">
        <f>AVERAGE(E77:F78)</f>
        <v>3</v>
      </c>
      <c r="H77" s="85"/>
      <c r="I77" s="84">
        <f>(G77/10)*100</f>
        <v>30</v>
      </c>
      <c r="J77" s="85"/>
      <c r="K77" s="84">
        <f>(G77/$E$35)*100</f>
        <v>30</v>
      </c>
      <c r="L77" s="85"/>
      <c r="M77" s="84">
        <f>X29</f>
        <v>0.1502597725</v>
      </c>
      <c r="N77" s="85"/>
      <c r="O77" s="84">
        <f>(K77*M77)/100</f>
        <v>0.04507793175</v>
      </c>
      <c r="P77" s="85"/>
      <c r="Q77" s="84">
        <f>(O77-$O$37)/$O$37</f>
        <v>-0.9525495455</v>
      </c>
      <c r="R77" s="85"/>
      <c r="S77" s="84">
        <f t="array" ref="S77">INDEX($C$30:$Z$30, INT((ROW(A43)+1)/2))</f>
        <v>-0.8497402275</v>
      </c>
      <c r="T77" s="85"/>
    </row>
    <row r="78" ht="15.75" customHeight="1">
      <c r="B78" s="17"/>
      <c r="C78" s="28"/>
      <c r="D78" s="101">
        <v>2.0</v>
      </c>
      <c r="E78" s="90">
        <v>2.0</v>
      </c>
      <c r="F78" s="10"/>
      <c r="G78" s="79"/>
      <c r="H78" s="78"/>
      <c r="I78" s="79"/>
      <c r="J78" s="78"/>
      <c r="K78" s="79"/>
      <c r="L78" s="78"/>
      <c r="M78" s="79"/>
      <c r="N78" s="78"/>
      <c r="O78" s="79"/>
      <c r="P78" s="78"/>
      <c r="Q78" s="79"/>
      <c r="R78" s="78"/>
      <c r="S78" s="79"/>
      <c r="T78" s="78"/>
    </row>
    <row r="79" ht="15.75" customHeight="1">
      <c r="B79" s="17"/>
      <c r="C79" s="100">
        <v>75.0</v>
      </c>
      <c r="D79" s="101">
        <v>1.0</v>
      </c>
      <c r="E79" s="90">
        <v>1.0</v>
      </c>
      <c r="F79" s="10"/>
      <c r="G79" s="84">
        <f>AVERAGE(E79:F80)</f>
        <v>1</v>
      </c>
      <c r="H79" s="85"/>
      <c r="I79" s="84">
        <f>(G79/10)*100</f>
        <v>10</v>
      </c>
      <c r="J79" s="85"/>
      <c r="K79" s="84">
        <f>(G79/$E$35)*100</f>
        <v>10</v>
      </c>
      <c r="L79" s="85"/>
      <c r="M79" s="84">
        <f>Y29</f>
        <v>0.03506328202</v>
      </c>
      <c r="N79" s="85"/>
      <c r="O79" s="84">
        <f>(K79*M79)/100</f>
        <v>0.003506328202</v>
      </c>
      <c r="P79" s="85"/>
      <c r="Q79" s="84">
        <f>(O79-$O$37)/$O$37</f>
        <v>-0.9963091282</v>
      </c>
      <c r="R79" s="85"/>
      <c r="S79" s="84">
        <f t="array" ref="S79">INDEX($C$30:$Z$30, INT((ROW(A45)+1)/2))</f>
        <v>-0.964936718</v>
      </c>
      <c r="T79" s="85"/>
    </row>
    <row r="80" ht="15.75" customHeight="1">
      <c r="B80" s="17"/>
      <c r="C80" s="28"/>
      <c r="D80" s="101">
        <v>2.0</v>
      </c>
      <c r="E80" s="91"/>
      <c r="F80" s="10"/>
      <c r="G80" s="79"/>
      <c r="H80" s="78"/>
      <c r="I80" s="79"/>
      <c r="J80" s="78"/>
      <c r="K80" s="79"/>
      <c r="L80" s="78"/>
      <c r="M80" s="79"/>
      <c r="N80" s="78"/>
      <c r="O80" s="79"/>
      <c r="P80" s="78"/>
      <c r="Q80" s="79"/>
      <c r="R80" s="78"/>
      <c r="S80" s="79"/>
      <c r="T80" s="78"/>
    </row>
    <row r="81" ht="15.75" customHeight="1">
      <c r="B81" s="17"/>
      <c r="C81" s="100">
        <v>100.0</v>
      </c>
      <c r="D81" s="101">
        <v>1.0</v>
      </c>
      <c r="E81" s="91"/>
      <c r="F81" s="10"/>
      <c r="G81" s="84" t="str">
        <f>AVERAGE(E81:F82)</f>
        <v>#DIV/0!</v>
      </c>
      <c r="H81" s="85"/>
      <c r="I81" s="84" t="str">
        <f>(G81/10)*100</f>
        <v>#DIV/0!</v>
      </c>
      <c r="J81" s="85"/>
      <c r="K81" s="84" t="str">
        <f>(G81/$E$35)*100</f>
        <v>#DIV/0!</v>
      </c>
      <c r="L81" s="85"/>
      <c r="M81" s="84" t="str">
        <f>Z29</f>
        <v>#DIV/0!</v>
      </c>
      <c r="N81" s="85"/>
      <c r="O81" s="84" t="str">
        <f>(K81*M81)/100</f>
        <v>#DIV/0!</v>
      </c>
      <c r="P81" s="85"/>
      <c r="Q81" s="84" t="str">
        <f>(O81-$O$37)/$O$37</f>
        <v>#DIV/0!</v>
      </c>
      <c r="R81" s="85"/>
      <c r="S81" s="84" t="str">
        <f t="array" ref="S81">INDEX($C$30:$Z$30, INT((ROW(A47)+1)/2))</f>
        <v>#DIV/0!</v>
      </c>
      <c r="T81" s="85"/>
    </row>
    <row r="82" ht="15.75" customHeight="1">
      <c r="B82" s="28"/>
      <c r="C82" s="28"/>
      <c r="D82" s="101">
        <v>2.0</v>
      </c>
      <c r="E82" s="91"/>
      <c r="F82" s="10"/>
      <c r="G82" s="79"/>
      <c r="H82" s="78"/>
      <c r="I82" s="79"/>
      <c r="J82" s="78"/>
      <c r="K82" s="79"/>
      <c r="L82" s="78"/>
      <c r="M82" s="79"/>
      <c r="N82" s="78"/>
      <c r="O82" s="79"/>
      <c r="P82" s="78"/>
      <c r="Q82" s="79"/>
      <c r="R82" s="78"/>
      <c r="S82" s="79"/>
      <c r="T82" s="78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102"/>
      <c r="I1" s="1"/>
      <c r="J1" s="1"/>
    </row>
    <row r="2" ht="15.75" customHeight="1">
      <c r="A2" s="1"/>
      <c r="B2" s="71" t="s">
        <v>20</v>
      </c>
      <c r="C2" s="71" t="s">
        <v>21</v>
      </c>
      <c r="D2" s="71" t="s">
        <v>28</v>
      </c>
      <c r="E2" s="71" t="s">
        <v>24</v>
      </c>
      <c r="F2" s="71" t="s">
        <v>25</v>
      </c>
      <c r="G2" s="71" t="s">
        <v>26</v>
      </c>
      <c r="H2" s="71" t="s">
        <v>17</v>
      </c>
      <c r="I2" s="71" t="s">
        <v>27</v>
      </c>
      <c r="J2" s="71" t="s">
        <v>18</v>
      </c>
      <c r="L2" s="103" t="s">
        <v>29</v>
      </c>
      <c r="M2" s="104" t="s">
        <v>30</v>
      </c>
      <c r="O2" s="105"/>
      <c r="P2" s="105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106" t="s">
        <v>31</v>
      </c>
      <c r="M3" s="107" t="s">
        <v>32</v>
      </c>
    </row>
    <row r="4" ht="15.75" customHeight="1">
      <c r="A4" s="108"/>
      <c r="B4" s="109" t="s">
        <v>4</v>
      </c>
      <c r="C4" s="110">
        <v>0.0</v>
      </c>
      <c r="D4" s="111">
        <f>'Dia 0'!G43</f>
        <v>8</v>
      </c>
      <c r="E4" s="111">
        <f t="shared" ref="E4:E23" si="1">INDIRECT("'Dia 0'!I" &amp; 43 + (ROW(A1)-1)*2)</f>
        <v>80</v>
      </c>
      <c r="F4" s="111">
        <f t="shared" ref="F4:F23" si="2">INDIRECT("'Dia 0'!K" &amp; 43 + (ROW(A1)-1)*2)</f>
        <v>80</v>
      </c>
      <c r="G4" s="111">
        <f t="shared" ref="G4:G23" si="3">INDIRECT("'Dia 0'!O" &amp; 43 + (ROW(A1)-1)*2)</f>
        <v>0.686135594</v>
      </c>
      <c r="H4" s="111">
        <f t="shared" ref="H4:H23" si="4">INDIRECT("'Dia 0'!M" &amp; 43 + (ROW(A1)-1)*2)</f>
        <v>0.8576694925</v>
      </c>
      <c r="I4" s="111">
        <f t="shared" ref="I4:I23" si="5">INDIRECT("'Dia 0'!Q" &amp; 43 + (ROW(A1)-1)*2)</f>
        <v>-0.2777520063</v>
      </c>
      <c r="J4" s="111">
        <f t="shared" ref="J4:J23" si="6">INDIRECT("'Dia 0'!S" &amp; 43 + (ROW(A1)-1)*2)</f>
        <v>-0.1423305075</v>
      </c>
      <c r="K4" s="112"/>
      <c r="L4" s="113" t="s">
        <v>33</v>
      </c>
      <c r="M4" s="114" t="s">
        <v>34</v>
      </c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</row>
    <row r="5" ht="15.75" customHeight="1">
      <c r="A5" s="108"/>
      <c r="B5" s="17"/>
      <c r="C5" s="110">
        <v>25.0</v>
      </c>
      <c r="D5" s="111">
        <f>'Dia 0'!G45</f>
        <v>7</v>
      </c>
      <c r="E5" s="111">
        <f t="shared" si="1"/>
        <v>70</v>
      </c>
      <c r="F5" s="111">
        <f t="shared" si="2"/>
        <v>70</v>
      </c>
      <c r="G5" s="111">
        <f t="shared" si="3"/>
        <v>0.500444295</v>
      </c>
      <c r="H5" s="111">
        <f t="shared" si="4"/>
        <v>0.7149204214</v>
      </c>
      <c r="I5" s="111">
        <f t="shared" si="5"/>
        <v>-0.4732165316</v>
      </c>
      <c r="J5" s="111">
        <f t="shared" si="6"/>
        <v>-0.2850795786</v>
      </c>
      <c r="K5" s="112"/>
      <c r="L5" s="115" t="s">
        <v>35</v>
      </c>
      <c r="M5" s="116" t="s">
        <v>36</v>
      </c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ht="15.75" customHeight="1">
      <c r="A6" s="108"/>
      <c r="B6" s="17"/>
      <c r="C6" s="110">
        <v>50.0</v>
      </c>
      <c r="D6" s="111">
        <f>'Dia 0'!G47</f>
        <v>7.5</v>
      </c>
      <c r="E6" s="111">
        <f t="shared" si="1"/>
        <v>75</v>
      </c>
      <c r="F6" s="111">
        <f t="shared" si="2"/>
        <v>75</v>
      </c>
      <c r="G6" s="111">
        <f t="shared" si="3"/>
        <v>0.3826941089</v>
      </c>
      <c r="H6" s="111">
        <f t="shared" si="4"/>
        <v>0.5102588119</v>
      </c>
      <c r="I6" s="111">
        <f t="shared" si="5"/>
        <v>-0.5971640959</v>
      </c>
      <c r="J6" s="111">
        <f t="shared" si="6"/>
        <v>-0.4897411881</v>
      </c>
      <c r="K6" s="112"/>
      <c r="L6" s="115" t="s">
        <v>37</v>
      </c>
      <c r="M6" s="117" t="s">
        <v>38</v>
      </c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ht="15.75" customHeight="1">
      <c r="A7" s="108"/>
      <c r="B7" s="17"/>
      <c r="C7" s="110">
        <v>75.0</v>
      </c>
      <c r="D7" s="111">
        <f>'Dia 0'!G49</f>
        <v>2.5</v>
      </c>
      <c r="E7" s="111">
        <f t="shared" si="1"/>
        <v>25</v>
      </c>
      <c r="F7" s="111">
        <f t="shared" si="2"/>
        <v>25</v>
      </c>
      <c r="G7" s="111">
        <f t="shared" si="3"/>
        <v>0.0366003026</v>
      </c>
      <c r="H7" s="111">
        <f t="shared" si="4"/>
        <v>0.1464012104</v>
      </c>
      <c r="I7" s="111">
        <f t="shared" si="5"/>
        <v>-0.9614733657</v>
      </c>
      <c r="J7" s="111">
        <f t="shared" si="6"/>
        <v>-0.8535987896</v>
      </c>
      <c r="K7" s="112"/>
      <c r="L7" s="118"/>
      <c r="M7" s="118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ht="15.75" customHeight="1">
      <c r="A8" s="108">
        <v>100.0</v>
      </c>
      <c r="B8" s="28"/>
      <c r="C8" s="110">
        <v>100.0</v>
      </c>
      <c r="D8" s="111">
        <f>'Dia 0'!G51</f>
        <v>1</v>
      </c>
      <c r="E8" s="111">
        <f t="shared" si="1"/>
        <v>10</v>
      </c>
      <c r="F8" s="111">
        <f t="shared" si="2"/>
        <v>10</v>
      </c>
      <c r="G8" s="111">
        <f t="shared" si="3"/>
        <v>0.01416940849</v>
      </c>
      <c r="H8" s="111">
        <f t="shared" si="4"/>
        <v>0.1416940849</v>
      </c>
      <c r="I8" s="111">
        <f t="shared" si="5"/>
        <v>-0.9850848332</v>
      </c>
      <c r="J8" s="111">
        <f t="shared" si="6"/>
        <v>-0.8583059151</v>
      </c>
      <c r="K8" s="112"/>
      <c r="L8" s="119" t="s">
        <v>39</v>
      </c>
      <c r="M8" s="120" t="s">
        <v>40</v>
      </c>
      <c r="N8" s="7"/>
      <c r="O8" s="10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ht="15.75" customHeight="1">
      <c r="A9" s="108"/>
      <c r="B9" s="121" t="s">
        <v>5</v>
      </c>
      <c r="C9" s="122">
        <v>0.0</v>
      </c>
      <c r="D9" s="111">
        <f>'Dia 0'!G53</f>
        <v>8</v>
      </c>
      <c r="E9" s="111">
        <f t="shared" si="1"/>
        <v>80</v>
      </c>
      <c r="F9" s="111">
        <f t="shared" si="2"/>
        <v>80</v>
      </c>
      <c r="G9" s="111">
        <f t="shared" si="3"/>
        <v>0.2333149211</v>
      </c>
      <c r="H9" s="111">
        <f t="shared" si="4"/>
        <v>0.2916436514</v>
      </c>
      <c r="I9" s="111">
        <f t="shared" si="5"/>
        <v>-0.7544053462</v>
      </c>
      <c r="J9" s="111">
        <f t="shared" si="6"/>
        <v>-0.7083563486</v>
      </c>
      <c r="K9" s="112"/>
      <c r="L9" s="119" t="s">
        <v>41</v>
      </c>
      <c r="M9" s="120" t="s">
        <v>42</v>
      </c>
      <c r="N9" s="7"/>
      <c r="O9" s="10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ht="15.75" customHeight="1">
      <c r="A10" s="108"/>
      <c r="B10" s="17"/>
      <c r="C10" s="122">
        <v>25.0</v>
      </c>
      <c r="D10" s="111">
        <f>'Dia 0'!G55</f>
        <v>6.5</v>
      </c>
      <c r="E10" s="111">
        <f t="shared" si="1"/>
        <v>65</v>
      </c>
      <c r="F10" s="111">
        <f t="shared" si="2"/>
        <v>65</v>
      </c>
      <c r="G10" s="111">
        <f t="shared" si="3"/>
        <v>0.1670309085</v>
      </c>
      <c r="H10" s="111">
        <f t="shared" si="4"/>
        <v>0.2569706285</v>
      </c>
      <c r="I10" s="111">
        <f t="shared" si="5"/>
        <v>-0.824177991</v>
      </c>
      <c r="J10" s="111">
        <f t="shared" si="6"/>
        <v>-0.7430293715</v>
      </c>
      <c r="K10" s="112"/>
      <c r="L10" s="119" t="s">
        <v>43</v>
      </c>
      <c r="M10" s="120" t="s">
        <v>44</v>
      </c>
      <c r="N10" s="7"/>
      <c r="O10" s="10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ht="15.75" customHeight="1">
      <c r="B11" s="17"/>
      <c r="C11" s="122">
        <v>50.0</v>
      </c>
      <c r="D11" s="111">
        <f>'Dia 0'!G57</f>
        <v>2.5</v>
      </c>
      <c r="E11" s="111">
        <f t="shared" si="1"/>
        <v>25</v>
      </c>
      <c r="F11" s="111">
        <f t="shared" si="2"/>
        <v>25</v>
      </c>
      <c r="G11" s="111">
        <f t="shared" si="3"/>
        <v>0.02466437715</v>
      </c>
      <c r="H11" s="111">
        <f t="shared" si="4"/>
        <v>0.09865750859</v>
      </c>
      <c r="I11" s="111">
        <f t="shared" si="5"/>
        <v>-0.9740374977</v>
      </c>
      <c r="J11" s="111">
        <f t="shared" si="6"/>
        <v>-0.9013424914</v>
      </c>
      <c r="L11" s="119" t="s">
        <v>45</v>
      </c>
      <c r="M11" s="120" t="s">
        <v>46</v>
      </c>
      <c r="N11" s="7"/>
      <c r="O11" s="10"/>
    </row>
    <row r="12" ht="15.75" customHeight="1">
      <c r="B12" s="17"/>
      <c r="C12" s="122">
        <v>75.0</v>
      </c>
      <c r="D12" s="111" t="str">
        <f>'Dia 0'!G59</f>
        <v>#DIV/0!</v>
      </c>
      <c r="E12" s="111" t="str">
        <f t="shared" si="1"/>
        <v>#DIV/0!</v>
      </c>
      <c r="F12" s="111" t="str">
        <f t="shared" si="2"/>
        <v>#DIV/0!</v>
      </c>
      <c r="G12" s="111" t="str">
        <f t="shared" si="3"/>
        <v>#DIV/0!</v>
      </c>
      <c r="H12" s="111">
        <f t="shared" si="4"/>
        <v>0.1425746696</v>
      </c>
      <c r="I12" s="111" t="str">
        <f t="shared" si="5"/>
        <v>#DIV/0!</v>
      </c>
      <c r="J12" s="111">
        <f t="shared" si="6"/>
        <v>-0.8574253304</v>
      </c>
      <c r="L12" s="119" t="s">
        <v>47</v>
      </c>
      <c r="M12" s="120" t="s">
        <v>48</v>
      </c>
      <c r="N12" s="7"/>
      <c r="O12" s="10"/>
    </row>
    <row r="13" ht="15.75" customHeight="1">
      <c r="B13" s="28"/>
      <c r="C13" s="122">
        <v>100.0</v>
      </c>
      <c r="D13" s="111" t="str">
        <f>'Dia 0'!G61</f>
        <v>#DIV/0!</v>
      </c>
      <c r="E13" s="111" t="str">
        <f t="shared" si="1"/>
        <v>#DIV/0!</v>
      </c>
      <c r="F13" s="111" t="str">
        <f t="shared" si="2"/>
        <v>#DIV/0!</v>
      </c>
      <c r="G13" s="111" t="str">
        <f t="shared" si="3"/>
        <v>#DIV/0!</v>
      </c>
      <c r="H13" s="111" t="str">
        <f t="shared" si="4"/>
        <v>#DIV/0!</v>
      </c>
      <c r="I13" s="111" t="str">
        <f t="shared" si="5"/>
        <v>#DIV/0!</v>
      </c>
      <c r="J13" s="111" t="str">
        <f t="shared" si="6"/>
        <v>#DIV/0!</v>
      </c>
      <c r="L13" s="119" t="s">
        <v>49</v>
      </c>
      <c r="M13" s="120" t="s">
        <v>50</v>
      </c>
      <c r="N13" s="7"/>
      <c r="O13" s="10"/>
    </row>
    <row r="14" ht="15.75" customHeight="1">
      <c r="B14" s="123" t="s">
        <v>6</v>
      </c>
      <c r="C14" s="124">
        <v>0.0</v>
      </c>
      <c r="D14" s="111">
        <f>'Dia 0'!G63</f>
        <v>8</v>
      </c>
      <c r="E14" s="111">
        <f t="shared" si="1"/>
        <v>80</v>
      </c>
      <c r="F14" s="111">
        <f t="shared" si="2"/>
        <v>80</v>
      </c>
      <c r="G14" s="111">
        <f t="shared" si="3"/>
        <v>0.8004514998</v>
      </c>
      <c r="H14" s="111">
        <f t="shared" si="4"/>
        <v>1.000564375</v>
      </c>
      <c r="I14" s="111">
        <f t="shared" si="5"/>
        <v>-0.1574194739</v>
      </c>
      <c r="J14" s="111">
        <f t="shared" si="6"/>
        <v>0.0005643747448</v>
      </c>
      <c r="K14" s="125"/>
      <c r="L14" s="112"/>
    </row>
    <row r="15" ht="15.75" customHeight="1">
      <c r="B15" s="17"/>
      <c r="C15" s="124">
        <v>25.0</v>
      </c>
      <c r="D15" s="111">
        <f>'Dia 0'!G65</f>
        <v>9.5</v>
      </c>
      <c r="E15" s="111">
        <f t="shared" si="1"/>
        <v>95</v>
      </c>
      <c r="F15" s="111">
        <f t="shared" si="2"/>
        <v>95</v>
      </c>
      <c r="G15" s="111">
        <f t="shared" si="3"/>
        <v>0.5689858066</v>
      </c>
      <c r="H15" s="111">
        <f t="shared" si="4"/>
        <v>0.598932428</v>
      </c>
      <c r="I15" s="111">
        <f t="shared" si="5"/>
        <v>-0.401067572</v>
      </c>
      <c r="J15" s="111">
        <f t="shared" si="6"/>
        <v>-0.401067572</v>
      </c>
      <c r="K15" s="125"/>
      <c r="L15" s="112"/>
    </row>
    <row r="16" ht="15.75" customHeight="1">
      <c r="B16" s="17"/>
      <c r="C16" s="124">
        <v>50.0</v>
      </c>
      <c r="D16" s="111">
        <f>'Dia 0'!G67</f>
        <v>4</v>
      </c>
      <c r="E16" s="111">
        <f t="shared" si="1"/>
        <v>40</v>
      </c>
      <c r="F16" s="111">
        <f t="shared" si="2"/>
        <v>40</v>
      </c>
      <c r="G16" s="111">
        <f t="shared" si="3"/>
        <v>0.07973294267</v>
      </c>
      <c r="H16" s="111">
        <f t="shared" si="4"/>
        <v>0.1993323567</v>
      </c>
      <c r="I16" s="111">
        <f t="shared" si="5"/>
        <v>-0.9160705867</v>
      </c>
      <c r="J16" s="111">
        <f t="shared" si="6"/>
        <v>-0.8006676433</v>
      </c>
      <c r="K16" s="125"/>
      <c r="L16" s="112"/>
    </row>
    <row r="17" ht="15.75" customHeight="1">
      <c r="B17" s="17"/>
      <c r="C17" s="124">
        <v>75.0</v>
      </c>
      <c r="D17" s="111">
        <f>'Dia 0'!G69</f>
        <v>3</v>
      </c>
      <c r="E17" s="111">
        <f t="shared" si="1"/>
        <v>30</v>
      </c>
      <c r="F17" s="111">
        <f t="shared" si="2"/>
        <v>30</v>
      </c>
      <c r="G17" s="111" t="str">
        <f t="shared" si="3"/>
        <v>#DIV/0!</v>
      </c>
      <c r="H17" s="111" t="str">
        <f t="shared" si="4"/>
        <v>#DIV/0!</v>
      </c>
      <c r="I17" s="111" t="str">
        <f t="shared" si="5"/>
        <v>#DIV/0!</v>
      </c>
      <c r="J17" s="111" t="str">
        <f t="shared" si="6"/>
        <v>#DIV/0!</v>
      </c>
      <c r="K17" s="125"/>
      <c r="L17" s="112"/>
    </row>
    <row r="18" ht="15.75" customHeight="1">
      <c r="B18" s="28"/>
      <c r="C18" s="124">
        <v>100.0</v>
      </c>
      <c r="D18" s="111" t="str">
        <f>'Dia 0'!G71</f>
        <v>#DIV/0!</v>
      </c>
      <c r="E18" s="111" t="str">
        <f t="shared" si="1"/>
        <v>#DIV/0!</v>
      </c>
      <c r="F18" s="111" t="str">
        <f t="shared" si="2"/>
        <v>#DIV/0!</v>
      </c>
      <c r="G18" s="111" t="str">
        <f t="shared" si="3"/>
        <v>#DIV/0!</v>
      </c>
      <c r="H18" s="111" t="str">
        <f t="shared" si="4"/>
        <v>#DIV/0!</v>
      </c>
      <c r="I18" s="111" t="str">
        <f t="shared" si="5"/>
        <v>#DIV/0!</v>
      </c>
      <c r="J18" s="111" t="str">
        <f t="shared" si="6"/>
        <v>#DIV/0!</v>
      </c>
      <c r="K18" s="125"/>
      <c r="L18" s="112"/>
    </row>
    <row r="19" ht="15.75" customHeight="1">
      <c r="B19" s="126" t="s">
        <v>7</v>
      </c>
      <c r="C19" s="127">
        <v>0.0</v>
      </c>
      <c r="D19" s="111">
        <f>'Dia 0'!G73</f>
        <v>7</v>
      </c>
      <c r="E19" s="111">
        <f t="shared" si="1"/>
        <v>70</v>
      </c>
      <c r="F19" s="111">
        <f t="shared" si="2"/>
        <v>70</v>
      </c>
      <c r="G19" s="111">
        <f t="shared" si="3"/>
        <v>0.3077883715</v>
      </c>
      <c r="H19" s="111">
        <f t="shared" si="4"/>
        <v>0.4396976735</v>
      </c>
      <c r="I19" s="111">
        <f t="shared" si="5"/>
        <v>-0.6760122405</v>
      </c>
      <c r="J19" s="111">
        <f t="shared" si="6"/>
        <v>-0.5603023265</v>
      </c>
      <c r="K19" s="125"/>
      <c r="L19" s="112"/>
    </row>
    <row r="20" ht="15.75" customHeight="1">
      <c r="B20" s="17"/>
      <c r="C20" s="127">
        <v>25.0</v>
      </c>
      <c r="D20" s="111">
        <f>'Dia 0'!G75</f>
        <v>8</v>
      </c>
      <c r="E20" s="111">
        <f t="shared" si="1"/>
        <v>80</v>
      </c>
      <c r="F20" s="111">
        <f t="shared" si="2"/>
        <v>80</v>
      </c>
      <c r="G20" s="111">
        <f t="shared" si="3"/>
        <v>0.1926559235</v>
      </c>
      <c r="H20" s="111">
        <f t="shared" si="4"/>
        <v>0.2408199044</v>
      </c>
      <c r="I20" s="111">
        <f t="shared" si="5"/>
        <v>-0.797204291</v>
      </c>
      <c r="J20" s="111">
        <f t="shared" si="6"/>
        <v>-0.7591800956</v>
      </c>
      <c r="K20" s="125"/>
      <c r="L20" s="112"/>
    </row>
    <row r="21" ht="15.75" customHeight="1">
      <c r="B21" s="17"/>
      <c r="C21" s="127">
        <v>50.0</v>
      </c>
      <c r="D21" s="111">
        <f>'Dia 0'!G77</f>
        <v>3</v>
      </c>
      <c r="E21" s="111">
        <f t="shared" si="1"/>
        <v>30</v>
      </c>
      <c r="F21" s="111">
        <f t="shared" si="2"/>
        <v>30</v>
      </c>
      <c r="G21" s="111">
        <f t="shared" si="3"/>
        <v>0.04507793175</v>
      </c>
      <c r="H21" s="111">
        <f t="shared" si="4"/>
        <v>0.1502597725</v>
      </c>
      <c r="I21" s="111">
        <f t="shared" si="5"/>
        <v>-0.9525495455</v>
      </c>
      <c r="J21" s="111">
        <f t="shared" si="6"/>
        <v>-0.8497402275</v>
      </c>
    </row>
    <row r="22" ht="15.75" customHeight="1">
      <c r="B22" s="17"/>
      <c r="C22" s="127">
        <v>75.0</v>
      </c>
      <c r="D22" s="111">
        <f>'Dia 0'!G79</f>
        <v>1</v>
      </c>
      <c r="E22" s="111">
        <f t="shared" si="1"/>
        <v>10</v>
      </c>
      <c r="F22" s="111">
        <f t="shared" si="2"/>
        <v>10</v>
      </c>
      <c r="G22" s="111">
        <f t="shared" si="3"/>
        <v>0.003506328202</v>
      </c>
      <c r="H22" s="111">
        <f t="shared" si="4"/>
        <v>0.03506328202</v>
      </c>
      <c r="I22" s="111">
        <f t="shared" si="5"/>
        <v>-0.9963091282</v>
      </c>
      <c r="J22" s="111">
        <f t="shared" si="6"/>
        <v>-0.964936718</v>
      </c>
    </row>
    <row r="23" ht="15.75" customHeight="1">
      <c r="B23" s="28"/>
      <c r="C23" s="127">
        <v>100.0</v>
      </c>
      <c r="D23" s="111" t="str">
        <f>'Dia 0'!G81</f>
        <v>#DIV/0!</v>
      </c>
      <c r="E23" s="111" t="str">
        <f t="shared" si="1"/>
        <v>#DIV/0!</v>
      </c>
      <c r="F23" s="111" t="str">
        <f t="shared" si="2"/>
        <v>#DIV/0!</v>
      </c>
      <c r="G23" s="111" t="str">
        <f t="shared" si="3"/>
        <v>#DIV/0!</v>
      </c>
      <c r="H23" s="111" t="str">
        <f t="shared" si="4"/>
        <v>#DIV/0!</v>
      </c>
      <c r="I23" s="111" t="str">
        <f t="shared" si="5"/>
        <v>#DIV/0!</v>
      </c>
      <c r="J23" s="111" t="str">
        <f t="shared" si="6"/>
        <v>#DIV/0!</v>
      </c>
    </row>
    <row r="24" ht="15.75" customHeight="1">
      <c r="B24" s="128" t="s">
        <v>51</v>
      </c>
      <c r="C24" s="10"/>
      <c r="D24" s="111">
        <f>'Dia 0'!G35</f>
        <v>10</v>
      </c>
      <c r="E24" s="111">
        <f>'Dia 0'!I35</f>
        <v>100</v>
      </c>
      <c r="F24" s="111">
        <f>'Dia 0'!K35</f>
        <v>100</v>
      </c>
      <c r="G24" s="111">
        <f>'Dia 0'!O35</f>
        <v>1.063047217</v>
      </c>
      <c r="H24" s="111">
        <f>'Dia 0'!M35</f>
        <v>1.063047217</v>
      </c>
      <c r="I24" s="129">
        <f>'Dia 0'!Q37</f>
        <v>0</v>
      </c>
      <c r="J24" s="129">
        <f>'Dia 0'!S37</f>
        <v>-0.0593080121</v>
      </c>
    </row>
    <row r="25" ht="15.75" customHeight="1">
      <c r="B25" s="128" t="s">
        <v>11</v>
      </c>
      <c r="C25" s="10"/>
      <c r="D25" s="111">
        <f>'Dia 0'!G41</f>
        <v>7</v>
      </c>
      <c r="E25" s="111">
        <f>'Dia 0'!I41</f>
        <v>70</v>
      </c>
      <c r="F25" s="111">
        <f>'Dia 0'!K41</f>
        <v>70</v>
      </c>
      <c r="G25" s="111">
        <f>'Dia 0'!O41</f>
        <v>0.07781166695</v>
      </c>
      <c r="H25" s="111">
        <f>'Dia 0'!M41</f>
        <v>0.1111595242</v>
      </c>
      <c r="I25" s="130">
        <f>'Dia 0'!Q41</f>
        <v>-0.9180929822</v>
      </c>
      <c r="J25" s="130">
        <f>'Dia 0'!S41</f>
        <v>-0.8888404758</v>
      </c>
    </row>
    <row r="26" ht="15.75" customHeight="1">
      <c r="B26" s="131"/>
      <c r="H26" s="132"/>
    </row>
    <row r="27" ht="15.75" customHeight="1">
      <c r="B27" s="131"/>
      <c r="H27" s="132"/>
    </row>
    <row r="28" ht="15.75" customHeight="1">
      <c r="H28" s="132"/>
    </row>
    <row r="29" ht="15.75" customHeight="1">
      <c r="H29" s="132"/>
    </row>
    <row r="30" ht="15.75" customHeight="1">
      <c r="H30" s="132"/>
    </row>
    <row r="31" ht="15.75" customHeight="1">
      <c r="H31" s="132"/>
    </row>
    <row r="32" ht="15.75" customHeight="1">
      <c r="H32" s="132"/>
    </row>
    <row r="33" ht="15.75" customHeight="1">
      <c r="H33" s="132"/>
    </row>
    <row r="34" ht="15.75" customHeight="1">
      <c r="H34" s="132"/>
    </row>
    <row r="35" ht="15.75" customHeight="1">
      <c r="H35" s="132"/>
    </row>
    <row r="36" ht="15.75" customHeight="1">
      <c r="H36" s="132"/>
    </row>
    <row r="37" ht="15.75" customHeight="1">
      <c r="H37" s="132"/>
    </row>
    <row r="38" ht="15.75" customHeight="1">
      <c r="H38" s="132"/>
    </row>
    <row r="39" ht="15.75" customHeight="1">
      <c r="H39" s="132"/>
    </row>
    <row r="40" ht="15.75" customHeight="1">
      <c r="H40" s="132"/>
    </row>
    <row r="41" ht="15.75" customHeight="1">
      <c r="H41" s="132"/>
    </row>
    <row r="42" ht="15.75" customHeight="1">
      <c r="H42" s="132"/>
    </row>
    <row r="43" ht="15.75" customHeight="1">
      <c r="H43" s="132"/>
    </row>
    <row r="44" ht="15.75" customHeight="1">
      <c r="H44" s="132"/>
    </row>
    <row r="45" ht="15.75" customHeight="1">
      <c r="H45" s="132"/>
    </row>
    <row r="46" ht="15.75" customHeight="1">
      <c r="H46" s="132"/>
    </row>
    <row r="47" ht="15.75" customHeight="1">
      <c r="H47" s="132"/>
    </row>
    <row r="48" ht="15.75" customHeight="1">
      <c r="H48" s="132"/>
    </row>
    <row r="49" ht="15.75" customHeight="1">
      <c r="H49" s="132"/>
    </row>
    <row r="50" ht="15.75" customHeight="1">
      <c r="H50" s="132"/>
    </row>
    <row r="51" ht="15.75" customHeight="1">
      <c r="H51" s="132"/>
    </row>
    <row r="52" ht="15.75" customHeight="1">
      <c r="H52" s="132"/>
    </row>
    <row r="53" ht="15.75" customHeight="1">
      <c r="H53" s="132"/>
    </row>
    <row r="54" ht="15.75" customHeight="1">
      <c r="H54" s="132"/>
    </row>
    <row r="55" ht="15.75" customHeight="1">
      <c r="H55" s="132"/>
    </row>
    <row r="56" ht="15.75" customHeight="1">
      <c r="H56" s="132"/>
    </row>
    <row r="57" ht="15.75" customHeight="1">
      <c r="H57" s="132"/>
    </row>
    <row r="58" ht="15.75" customHeight="1">
      <c r="H58" s="132"/>
    </row>
    <row r="59" ht="15.75" customHeight="1">
      <c r="H59" s="132"/>
    </row>
    <row r="60" ht="15.75" customHeight="1">
      <c r="H60" s="132"/>
    </row>
    <row r="61" ht="15.75" customHeight="1">
      <c r="H61" s="132"/>
    </row>
    <row r="62" ht="15.75" customHeight="1">
      <c r="H62" s="132"/>
    </row>
    <row r="63" ht="15.75" customHeight="1">
      <c r="H63" s="132"/>
    </row>
    <row r="64" ht="15.75" customHeight="1">
      <c r="H64" s="132"/>
    </row>
    <row r="65" ht="15.75" customHeight="1">
      <c r="H65" s="132"/>
    </row>
    <row r="66" ht="15.75" customHeight="1">
      <c r="H66" s="132"/>
    </row>
    <row r="67" ht="15.75" customHeight="1">
      <c r="H67" s="132"/>
    </row>
    <row r="68" ht="15.75" customHeight="1">
      <c r="H68" s="132"/>
    </row>
    <row r="69" ht="15.75" customHeight="1">
      <c r="H69" s="132"/>
    </row>
    <row r="70" ht="15.75" customHeight="1">
      <c r="H70" s="132"/>
    </row>
    <row r="71" ht="15.75" customHeight="1">
      <c r="H71" s="132"/>
    </row>
    <row r="72" ht="15.75" customHeight="1">
      <c r="H72" s="132"/>
    </row>
    <row r="73" ht="15.75" customHeight="1">
      <c r="H73" s="132"/>
    </row>
    <row r="74" ht="15.75" customHeight="1">
      <c r="H74" s="132"/>
    </row>
    <row r="75" ht="15.75" customHeight="1">
      <c r="H75" s="132"/>
    </row>
    <row r="76" ht="15.75" customHeight="1">
      <c r="H76" s="132"/>
    </row>
    <row r="77" ht="15.75" customHeight="1">
      <c r="H77" s="132"/>
    </row>
    <row r="78" ht="15.75" customHeight="1">
      <c r="H78" s="132"/>
    </row>
    <row r="79" ht="15.75" customHeight="1">
      <c r="H79" s="132"/>
    </row>
    <row r="80" ht="15.75" customHeight="1">
      <c r="H80" s="132"/>
    </row>
    <row r="81" ht="15.75" customHeight="1">
      <c r="H81" s="132"/>
    </row>
    <row r="82" ht="15.75" customHeight="1">
      <c r="H82" s="132"/>
    </row>
    <row r="83" ht="15.75" customHeight="1">
      <c r="H83" s="132"/>
    </row>
    <row r="84" ht="15.75" customHeight="1">
      <c r="H84" s="132"/>
    </row>
    <row r="85" ht="15.75" customHeight="1">
      <c r="H85" s="132"/>
    </row>
    <row r="86" ht="15.75" customHeight="1">
      <c r="H86" s="132"/>
    </row>
    <row r="87" ht="15.75" customHeight="1">
      <c r="H87" s="132"/>
    </row>
    <row r="88" ht="15.75" customHeight="1">
      <c r="H88" s="132"/>
    </row>
    <row r="89" ht="15.75" customHeight="1">
      <c r="H89" s="132"/>
    </row>
    <row r="90" ht="15.75" customHeight="1">
      <c r="H90" s="132"/>
    </row>
    <row r="91" ht="15.75" customHeight="1">
      <c r="H91" s="132"/>
    </row>
    <row r="92" ht="15.75" customHeight="1">
      <c r="H92" s="132"/>
    </row>
    <row r="93" ht="15.75" customHeight="1">
      <c r="H93" s="132"/>
    </row>
    <row r="94" ht="15.75" customHeight="1">
      <c r="H94" s="132"/>
    </row>
    <row r="95" ht="15.75" customHeight="1">
      <c r="H95" s="132"/>
    </row>
    <row r="96" ht="15.75" customHeight="1">
      <c r="H96" s="132"/>
    </row>
    <row r="97" ht="15.75" customHeight="1">
      <c r="H97" s="132"/>
    </row>
    <row r="98" ht="15.75" customHeight="1">
      <c r="H98" s="132"/>
    </row>
    <row r="99" ht="15.75" customHeight="1">
      <c r="H99" s="132"/>
    </row>
    <row r="100" ht="15.75" customHeight="1">
      <c r="H100" s="132"/>
    </row>
    <row r="101" ht="15.75" customHeight="1">
      <c r="H101" s="132"/>
    </row>
    <row r="102" ht="15.75" customHeight="1">
      <c r="H102" s="132"/>
    </row>
    <row r="103" ht="15.75" customHeight="1">
      <c r="H103" s="132"/>
    </row>
    <row r="104" ht="15.75" customHeight="1">
      <c r="H104" s="132"/>
    </row>
    <row r="105" ht="15.75" customHeight="1">
      <c r="H105" s="132"/>
    </row>
    <row r="106" ht="15.75" customHeight="1">
      <c r="H106" s="132"/>
    </row>
    <row r="107" ht="15.75" customHeight="1">
      <c r="H107" s="132"/>
    </row>
    <row r="108" ht="15.75" customHeight="1">
      <c r="H108" s="132"/>
    </row>
    <row r="109" ht="15.75" customHeight="1">
      <c r="H109" s="132"/>
    </row>
    <row r="110" ht="15.75" customHeight="1">
      <c r="H110" s="132"/>
    </row>
    <row r="111" ht="15.75" customHeight="1">
      <c r="H111" s="132"/>
    </row>
    <row r="112" ht="15.75" customHeight="1">
      <c r="H112" s="132"/>
    </row>
    <row r="113" ht="15.75" customHeight="1">
      <c r="H113" s="132"/>
    </row>
    <row r="114" ht="15.75" customHeight="1">
      <c r="H114" s="132"/>
    </row>
    <row r="115" ht="15.75" customHeight="1">
      <c r="H115" s="132"/>
    </row>
    <row r="116" ht="15.75" customHeight="1">
      <c r="H116" s="132"/>
    </row>
    <row r="117" ht="15.75" customHeight="1">
      <c r="H117" s="132"/>
    </row>
    <row r="118" ht="15.75" customHeight="1">
      <c r="H118" s="132"/>
    </row>
    <row r="119" ht="15.75" customHeight="1">
      <c r="H119" s="132"/>
    </row>
    <row r="120" ht="15.75" customHeight="1">
      <c r="H120" s="132"/>
    </row>
    <row r="121" ht="15.75" customHeight="1">
      <c r="H121" s="132"/>
    </row>
    <row r="122" ht="15.75" customHeight="1">
      <c r="H122" s="132"/>
    </row>
    <row r="123" ht="15.75" customHeight="1">
      <c r="H123" s="132"/>
    </row>
    <row r="124" ht="15.75" customHeight="1">
      <c r="H124" s="132"/>
    </row>
    <row r="125" ht="15.75" customHeight="1">
      <c r="H125" s="132"/>
    </row>
    <row r="126" ht="15.75" customHeight="1">
      <c r="H126" s="132"/>
    </row>
    <row r="127" ht="15.75" customHeight="1">
      <c r="H127" s="132"/>
    </row>
    <row r="128" ht="15.75" customHeight="1">
      <c r="H128" s="132"/>
    </row>
    <row r="129" ht="15.75" customHeight="1">
      <c r="H129" s="132"/>
    </row>
    <row r="130" ht="15.75" customHeight="1">
      <c r="H130" s="132"/>
    </row>
    <row r="131" ht="15.75" customHeight="1">
      <c r="H131" s="132"/>
    </row>
    <row r="132" ht="15.75" customHeight="1">
      <c r="H132" s="132"/>
    </row>
    <row r="133" ht="15.75" customHeight="1">
      <c r="H133" s="132"/>
    </row>
    <row r="134" ht="15.75" customHeight="1">
      <c r="H134" s="132"/>
    </row>
    <row r="135" ht="15.75" customHeight="1">
      <c r="H135" s="132"/>
    </row>
    <row r="136" ht="15.75" customHeight="1">
      <c r="H136" s="132"/>
    </row>
    <row r="137" ht="15.75" customHeight="1">
      <c r="H137" s="132"/>
    </row>
    <row r="138" ht="15.75" customHeight="1">
      <c r="H138" s="132"/>
    </row>
    <row r="139" ht="15.75" customHeight="1">
      <c r="H139" s="132"/>
    </row>
    <row r="140" ht="15.75" customHeight="1">
      <c r="H140" s="132"/>
    </row>
    <row r="141" ht="15.75" customHeight="1">
      <c r="H141" s="132"/>
    </row>
    <row r="142" ht="15.75" customHeight="1">
      <c r="H142" s="132"/>
    </row>
    <row r="143" ht="15.75" customHeight="1">
      <c r="H143" s="132"/>
    </row>
    <row r="144" ht="15.75" customHeight="1">
      <c r="H144" s="132"/>
    </row>
    <row r="145" ht="15.75" customHeight="1">
      <c r="H145" s="132"/>
    </row>
    <row r="146" ht="15.75" customHeight="1">
      <c r="H146" s="132"/>
    </row>
    <row r="147" ht="15.75" customHeight="1">
      <c r="H147" s="132"/>
    </row>
    <row r="148" ht="15.75" customHeight="1">
      <c r="H148" s="132"/>
    </row>
    <row r="149" ht="15.75" customHeight="1">
      <c r="H149" s="132"/>
    </row>
    <row r="150" ht="15.75" customHeight="1">
      <c r="H150" s="132"/>
    </row>
    <row r="151" ht="15.75" customHeight="1">
      <c r="H151" s="132"/>
    </row>
    <row r="152" ht="15.75" customHeight="1">
      <c r="H152" s="132"/>
    </row>
    <row r="153" ht="15.75" customHeight="1">
      <c r="H153" s="132"/>
    </row>
    <row r="154" ht="15.75" customHeight="1">
      <c r="H154" s="132"/>
    </row>
    <row r="155" ht="15.75" customHeight="1">
      <c r="H155" s="132"/>
    </row>
    <row r="156" ht="15.75" customHeight="1">
      <c r="H156" s="132"/>
    </row>
    <row r="157" ht="15.75" customHeight="1">
      <c r="H157" s="132"/>
    </row>
    <row r="158" ht="15.75" customHeight="1">
      <c r="H158" s="132"/>
    </row>
    <row r="159" ht="15.75" customHeight="1">
      <c r="H159" s="132"/>
    </row>
    <row r="160" ht="15.75" customHeight="1">
      <c r="H160" s="132"/>
    </row>
    <row r="161" ht="15.75" customHeight="1">
      <c r="H161" s="132"/>
    </row>
    <row r="162" ht="15.75" customHeight="1">
      <c r="H162" s="132"/>
    </row>
    <row r="163" ht="15.75" customHeight="1">
      <c r="H163" s="132"/>
    </row>
    <row r="164" ht="15.75" customHeight="1">
      <c r="H164" s="132"/>
    </row>
    <row r="165" ht="15.75" customHeight="1">
      <c r="H165" s="132"/>
    </row>
    <row r="166" ht="15.75" customHeight="1">
      <c r="H166" s="132"/>
    </row>
    <row r="167" ht="15.75" customHeight="1">
      <c r="H167" s="132"/>
    </row>
    <row r="168" ht="15.75" customHeight="1">
      <c r="H168" s="132"/>
    </row>
    <row r="169" ht="15.75" customHeight="1">
      <c r="H169" s="132"/>
    </row>
    <row r="170" ht="15.75" customHeight="1">
      <c r="H170" s="132"/>
    </row>
    <row r="171" ht="15.75" customHeight="1">
      <c r="H171" s="132"/>
    </row>
    <row r="172" ht="15.75" customHeight="1">
      <c r="H172" s="132"/>
    </row>
    <row r="173" ht="15.75" customHeight="1">
      <c r="H173" s="132"/>
    </row>
    <row r="174" ht="15.75" customHeight="1">
      <c r="H174" s="132"/>
    </row>
    <row r="175" ht="15.75" customHeight="1">
      <c r="H175" s="132"/>
    </row>
    <row r="176" ht="15.75" customHeight="1">
      <c r="H176" s="132"/>
    </row>
    <row r="177" ht="15.75" customHeight="1">
      <c r="H177" s="132"/>
    </row>
    <row r="178" ht="15.75" customHeight="1">
      <c r="H178" s="132"/>
    </row>
    <row r="179" ht="15.75" customHeight="1">
      <c r="H179" s="132"/>
    </row>
    <row r="180" ht="15.75" customHeight="1">
      <c r="H180" s="132"/>
    </row>
    <row r="181" ht="15.75" customHeight="1">
      <c r="H181" s="132"/>
    </row>
    <row r="182" ht="15.75" customHeight="1">
      <c r="H182" s="132"/>
    </row>
    <row r="183" ht="15.75" customHeight="1">
      <c r="H183" s="132"/>
    </row>
    <row r="184" ht="15.75" customHeight="1">
      <c r="H184" s="132"/>
    </row>
    <row r="185" ht="15.75" customHeight="1">
      <c r="H185" s="132"/>
    </row>
    <row r="186" ht="15.75" customHeight="1">
      <c r="H186" s="132"/>
    </row>
    <row r="187" ht="15.75" customHeight="1">
      <c r="H187" s="132"/>
    </row>
    <row r="188" ht="15.75" customHeight="1">
      <c r="H188" s="132"/>
    </row>
    <row r="189" ht="15.75" customHeight="1">
      <c r="H189" s="132"/>
    </row>
    <row r="190" ht="15.75" customHeight="1">
      <c r="H190" s="132"/>
    </row>
    <row r="191" ht="15.75" customHeight="1">
      <c r="H191" s="132"/>
    </row>
    <row r="192" ht="15.75" customHeight="1">
      <c r="H192" s="132"/>
    </row>
    <row r="193" ht="15.75" customHeight="1">
      <c r="H193" s="132"/>
    </row>
    <row r="194" ht="15.75" customHeight="1">
      <c r="H194" s="132"/>
    </row>
    <row r="195" ht="15.75" customHeight="1">
      <c r="H195" s="132"/>
    </row>
    <row r="196" ht="15.75" customHeight="1">
      <c r="H196" s="132"/>
    </row>
    <row r="197" ht="15.75" customHeight="1">
      <c r="H197" s="132"/>
    </row>
    <row r="198" ht="15.75" customHeight="1">
      <c r="H198" s="132"/>
    </row>
    <row r="199" ht="15.75" customHeight="1">
      <c r="H199" s="132"/>
    </row>
    <row r="200" ht="15.75" customHeight="1">
      <c r="H200" s="132"/>
    </row>
    <row r="201" ht="15.75" customHeight="1">
      <c r="H201" s="132"/>
    </row>
    <row r="202" ht="15.75" customHeight="1">
      <c r="H202" s="132"/>
    </row>
    <row r="203" ht="15.75" customHeight="1">
      <c r="H203" s="132"/>
    </row>
    <row r="204" ht="15.75" customHeight="1">
      <c r="H204" s="132"/>
    </row>
    <row r="205" ht="15.75" customHeight="1">
      <c r="H205" s="132"/>
    </row>
    <row r="206" ht="15.75" customHeight="1">
      <c r="H206" s="132"/>
    </row>
    <row r="207" ht="15.75" customHeight="1">
      <c r="H207" s="132"/>
    </row>
    <row r="208" ht="15.75" customHeight="1">
      <c r="H208" s="132"/>
    </row>
    <row r="209" ht="15.75" customHeight="1">
      <c r="H209" s="132"/>
    </row>
    <row r="210" ht="15.75" customHeight="1">
      <c r="H210" s="132"/>
    </row>
    <row r="211" ht="15.75" customHeight="1">
      <c r="H211" s="132"/>
    </row>
    <row r="212" ht="15.75" customHeight="1">
      <c r="H212" s="132"/>
    </row>
    <row r="213" ht="15.75" customHeight="1">
      <c r="H213" s="132"/>
    </row>
    <row r="214" ht="15.75" customHeight="1">
      <c r="H214" s="132"/>
    </row>
    <row r="215" ht="15.75" customHeight="1">
      <c r="H215" s="132"/>
    </row>
    <row r="216" ht="15.75" customHeight="1">
      <c r="H216" s="132"/>
    </row>
    <row r="217" ht="15.75" customHeight="1">
      <c r="H217" s="132"/>
    </row>
    <row r="218" ht="15.75" customHeight="1">
      <c r="H218" s="132"/>
    </row>
    <row r="219" ht="15.75" customHeight="1">
      <c r="H219" s="132"/>
    </row>
    <row r="220" ht="15.75" customHeight="1">
      <c r="H220" s="132"/>
    </row>
    <row r="221" ht="15.75" customHeight="1">
      <c r="H221" s="132"/>
    </row>
    <row r="222" ht="15.75" customHeight="1">
      <c r="H222" s="132"/>
    </row>
    <row r="223" ht="15.75" customHeight="1">
      <c r="H223" s="132"/>
    </row>
    <row r="224" ht="15.75" customHeight="1">
      <c r="H224" s="132"/>
    </row>
    <row r="225" ht="15.75" customHeight="1">
      <c r="H225" s="132"/>
    </row>
    <row r="226" ht="15.75" customHeight="1">
      <c r="H226" s="132"/>
    </row>
    <row r="227" ht="15.75" customHeight="1">
      <c r="H227" s="132"/>
    </row>
    <row r="228" ht="15.75" customHeight="1">
      <c r="H228" s="132"/>
    </row>
    <row r="229" ht="15.75" customHeight="1">
      <c r="H229" s="132"/>
    </row>
    <row r="230" ht="15.75" customHeight="1">
      <c r="H230" s="132"/>
    </row>
    <row r="231" ht="15.75" customHeight="1">
      <c r="H231" s="132"/>
    </row>
    <row r="232" ht="15.75" customHeight="1">
      <c r="H232" s="132"/>
    </row>
    <row r="233" ht="15.75" customHeight="1">
      <c r="H233" s="132"/>
    </row>
    <row r="234" ht="15.75" customHeight="1">
      <c r="H234" s="132"/>
    </row>
    <row r="235" ht="15.75" customHeight="1">
      <c r="H235" s="132"/>
    </row>
    <row r="236" ht="15.75" customHeight="1">
      <c r="H236" s="132"/>
    </row>
    <row r="237" ht="15.75" customHeight="1">
      <c r="H237" s="132"/>
    </row>
    <row r="238" ht="15.75" customHeight="1">
      <c r="H238" s="132"/>
    </row>
    <row r="239" ht="15.75" customHeight="1">
      <c r="H239" s="132"/>
    </row>
    <row r="240" ht="15.75" customHeight="1">
      <c r="H240" s="132"/>
    </row>
    <row r="241" ht="15.75" customHeight="1">
      <c r="H241" s="132"/>
    </row>
    <row r="242" ht="15.75" customHeight="1">
      <c r="H242" s="132"/>
    </row>
    <row r="243" ht="15.75" customHeight="1">
      <c r="H243" s="132"/>
    </row>
    <row r="244" ht="15.75" customHeight="1">
      <c r="H244" s="132"/>
    </row>
    <row r="245" ht="15.75" customHeight="1">
      <c r="H245" s="132"/>
    </row>
    <row r="246" ht="15.75" customHeight="1">
      <c r="H246" s="132"/>
    </row>
    <row r="247" ht="15.75" customHeight="1">
      <c r="H247" s="132"/>
    </row>
    <row r="248" ht="15.75" customHeight="1">
      <c r="H248" s="132"/>
    </row>
    <row r="249" ht="15.75" customHeight="1">
      <c r="H249" s="132"/>
    </row>
    <row r="250" ht="15.75" customHeight="1">
      <c r="H250" s="132"/>
    </row>
    <row r="251" ht="15.75" customHeight="1">
      <c r="H251" s="132"/>
    </row>
    <row r="252" ht="15.75" customHeight="1">
      <c r="H252" s="132"/>
    </row>
    <row r="253" ht="15.75" customHeight="1">
      <c r="H253" s="132"/>
    </row>
    <row r="254" ht="15.75" customHeight="1">
      <c r="H254" s="132"/>
    </row>
    <row r="255" ht="15.75" customHeight="1">
      <c r="H255" s="132"/>
    </row>
    <row r="256" ht="15.75" customHeight="1">
      <c r="H256" s="132"/>
    </row>
    <row r="257" ht="15.75" customHeight="1">
      <c r="H257" s="132"/>
    </row>
    <row r="258" ht="15.75" customHeight="1">
      <c r="H258" s="132"/>
    </row>
    <row r="259" ht="15.75" customHeight="1">
      <c r="H259" s="132"/>
    </row>
    <row r="260" ht="15.75" customHeight="1">
      <c r="H260" s="132"/>
    </row>
    <row r="261" ht="15.75" customHeight="1">
      <c r="H261" s="132"/>
    </row>
    <row r="262" ht="15.75" customHeight="1">
      <c r="H262" s="132"/>
    </row>
    <row r="263" ht="15.75" customHeight="1">
      <c r="H263" s="132"/>
    </row>
    <row r="264" ht="15.75" customHeight="1">
      <c r="H264" s="132"/>
    </row>
    <row r="265" ht="15.75" customHeight="1">
      <c r="H265" s="132"/>
    </row>
    <row r="266" ht="15.75" customHeight="1">
      <c r="H266" s="132"/>
    </row>
    <row r="267" ht="15.75" customHeight="1">
      <c r="H267" s="132"/>
    </row>
    <row r="268" ht="15.75" customHeight="1">
      <c r="H268" s="132"/>
    </row>
    <row r="269" ht="15.75" customHeight="1">
      <c r="H269" s="132"/>
    </row>
    <row r="270" ht="15.75" customHeight="1">
      <c r="H270" s="132"/>
    </row>
    <row r="271" ht="15.75" customHeight="1">
      <c r="H271" s="132"/>
    </row>
    <row r="272" ht="15.75" customHeight="1">
      <c r="H272" s="132"/>
    </row>
    <row r="273" ht="15.75" customHeight="1">
      <c r="H273" s="132"/>
    </row>
    <row r="274" ht="15.75" customHeight="1">
      <c r="H274" s="132"/>
    </row>
    <row r="275" ht="15.75" customHeight="1">
      <c r="H275" s="132"/>
    </row>
    <row r="276" ht="15.75" customHeight="1">
      <c r="H276" s="132"/>
    </row>
    <row r="277" ht="15.75" customHeight="1">
      <c r="H277" s="132"/>
    </row>
    <row r="278" ht="15.75" customHeight="1">
      <c r="H278" s="132"/>
    </row>
    <row r="279" ht="15.75" customHeight="1">
      <c r="H279" s="132"/>
    </row>
    <row r="280" ht="15.75" customHeight="1">
      <c r="H280" s="132"/>
    </row>
    <row r="281" ht="15.75" customHeight="1">
      <c r="H281" s="132"/>
    </row>
    <row r="282" ht="15.75" customHeight="1">
      <c r="H282" s="132"/>
    </row>
    <row r="283" ht="15.75" customHeight="1">
      <c r="H283" s="132"/>
    </row>
    <row r="284" ht="15.75" customHeight="1">
      <c r="H284" s="132"/>
    </row>
    <row r="285" ht="15.75" customHeight="1">
      <c r="H285" s="132"/>
    </row>
    <row r="286" ht="15.75" customHeight="1">
      <c r="H286" s="132"/>
    </row>
    <row r="287" ht="15.75" customHeight="1">
      <c r="H287" s="132"/>
    </row>
    <row r="288" ht="15.75" customHeight="1">
      <c r="H288" s="132"/>
    </row>
    <row r="289" ht="15.75" customHeight="1">
      <c r="H289" s="132"/>
    </row>
    <row r="290" ht="15.75" customHeight="1">
      <c r="H290" s="132"/>
    </row>
    <row r="291" ht="15.75" customHeight="1">
      <c r="H291" s="132"/>
    </row>
    <row r="292" ht="15.75" customHeight="1">
      <c r="H292" s="132"/>
    </row>
    <row r="293" ht="15.75" customHeight="1">
      <c r="H293" s="132"/>
    </row>
    <row r="294" ht="15.75" customHeight="1">
      <c r="H294" s="132"/>
    </row>
    <row r="295" ht="15.75" customHeight="1">
      <c r="H295" s="132"/>
    </row>
    <row r="296" ht="15.75" customHeight="1">
      <c r="H296" s="132"/>
    </row>
    <row r="297" ht="15.75" customHeight="1">
      <c r="H297" s="132"/>
    </row>
    <row r="298" ht="15.75" customHeight="1">
      <c r="H298" s="132"/>
    </row>
    <row r="299" ht="15.75" customHeight="1">
      <c r="H299" s="132"/>
    </row>
    <row r="300" ht="15.75" customHeight="1">
      <c r="H300" s="132"/>
    </row>
    <row r="301" ht="15.75" customHeight="1">
      <c r="H301" s="132"/>
    </row>
    <row r="302" ht="15.75" customHeight="1">
      <c r="H302" s="132"/>
    </row>
    <row r="303" ht="15.75" customHeight="1">
      <c r="H303" s="132"/>
    </row>
    <row r="304" ht="15.75" customHeight="1">
      <c r="H304" s="132"/>
    </row>
    <row r="305" ht="15.75" customHeight="1">
      <c r="H305" s="132"/>
    </row>
    <row r="306" ht="15.75" customHeight="1">
      <c r="H306" s="132"/>
    </row>
    <row r="307" ht="15.75" customHeight="1">
      <c r="H307" s="132"/>
    </row>
    <row r="308" ht="15.75" customHeight="1">
      <c r="H308" s="132"/>
    </row>
    <row r="309" ht="15.75" customHeight="1">
      <c r="H309" s="132"/>
    </row>
    <row r="310" ht="15.75" customHeight="1">
      <c r="H310" s="132"/>
    </row>
    <row r="311" ht="15.75" customHeight="1">
      <c r="H311" s="132"/>
    </row>
    <row r="312" ht="15.75" customHeight="1">
      <c r="H312" s="132"/>
    </row>
    <row r="313" ht="15.75" customHeight="1">
      <c r="H313" s="132"/>
    </row>
    <row r="314" ht="15.75" customHeight="1">
      <c r="H314" s="132"/>
    </row>
    <row r="315" ht="15.75" customHeight="1">
      <c r="H315" s="132"/>
    </row>
    <row r="316" ht="15.75" customHeight="1">
      <c r="H316" s="132"/>
    </row>
    <row r="317" ht="15.75" customHeight="1">
      <c r="H317" s="132"/>
    </row>
    <row r="318" ht="15.75" customHeight="1">
      <c r="H318" s="132"/>
    </row>
    <row r="319" ht="15.75" customHeight="1">
      <c r="H319" s="132"/>
    </row>
    <row r="320" ht="15.75" customHeight="1">
      <c r="H320" s="132"/>
    </row>
    <row r="321" ht="15.75" customHeight="1">
      <c r="H321" s="132"/>
    </row>
    <row r="322" ht="15.75" customHeight="1">
      <c r="H322" s="132"/>
    </row>
    <row r="323" ht="15.75" customHeight="1">
      <c r="H323" s="132"/>
    </row>
    <row r="324" ht="15.75" customHeight="1">
      <c r="H324" s="132"/>
    </row>
    <row r="325" ht="15.75" customHeight="1">
      <c r="H325" s="132"/>
    </row>
    <row r="326" ht="15.75" customHeight="1">
      <c r="H326" s="132"/>
    </row>
    <row r="327" ht="15.75" customHeight="1">
      <c r="H327" s="132"/>
    </row>
    <row r="328" ht="15.75" customHeight="1">
      <c r="H328" s="132"/>
    </row>
    <row r="329" ht="15.75" customHeight="1">
      <c r="H329" s="132"/>
    </row>
    <row r="330" ht="15.75" customHeight="1">
      <c r="H330" s="132"/>
    </row>
    <row r="331" ht="15.75" customHeight="1">
      <c r="H331" s="132"/>
    </row>
    <row r="332" ht="15.75" customHeight="1">
      <c r="H332" s="132"/>
    </row>
    <row r="333" ht="15.75" customHeight="1">
      <c r="H333" s="132"/>
    </row>
    <row r="334" ht="15.75" customHeight="1">
      <c r="H334" s="132"/>
    </row>
    <row r="335" ht="15.75" customHeight="1">
      <c r="H335" s="132"/>
    </row>
    <row r="336" ht="15.75" customHeight="1">
      <c r="H336" s="132"/>
    </row>
    <row r="337" ht="15.75" customHeight="1">
      <c r="H337" s="132"/>
    </row>
    <row r="338" ht="15.75" customHeight="1">
      <c r="H338" s="132"/>
    </row>
    <row r="339" ht="15.75" customHeight="1">
      <c r="H339" s="132"/>
    </row>
    <row r="340" ht="15.75" customHeight="1">
      <c r="H340" s="132"/>
    </row>
    <row r="341" ht="15.75" customHeight="1">
      <c r="H341" s="132"/>
    </row>
    <row r="342" ht="15.75" customHeight="1">
      <c r="H342" s="132"/>
    </row>
    <row r="343" ht="15.75" customHeight="1">
      <c r="H343" s="132"/>
    </row>
    <row r="344" ht="15.75" customHeight="1">
      <c r="H344" s="132"/>
    </row>
    <row r="345" ht="15.75" customHeight="1">
      <c r="H345" s="132"/>
    </row>
    <row r="346" ht="15.75" customHeight="1">
      <c r="H346" s="132"/>
    </row>
    <row r="347" ht="15.75" customHeight="1">
      <c r="H347" s="132"/>
    </row>
    <row r="348" ht="15.75" customHeight="1">
      <c r="H348" s="132"/>
    </row>
    <row r="349" ht="15.75" customHeight="1">
      <c r="H349" s="132"/>
    </row>
    <row r="350" ht="15.75" customHeight="1">
      <c r="H350" s="132"/>
    </row>
    <row r="351" ht="15.75" customHeight="1">
      <c r="H351" s="132"/>
    </row>
    <row r="352" ht="15.75" customHeight="1">
      <c r="H352" s="132"/>
    </row>
    <row r="353" ht="15.75" customHeight="1">
      <c r="H353" s="132"/>
    </row>
    <row r="354" ht="15.75" customHeight="1">
      <c r="H354" s="132"/>
    </row>
    <row r="355" ht="15.75" customHeight="1">
      <c r="H355" s="132"/>
    </row>
    <row r="356" ht="15.75" customHeight="1">
      <c r="H356" s="132"/>
    </row>
    <row r="357" ht="15.75" customHeight="1">
      <c r="H357" s="132"/>
    </row>
    <row r="358" ht="15.75" customHeight="1">
      <c r="H358" s="132"/>
    </row>
    <row r="359" ht="15.75" customHeight="1">
      <c r="H359" s="132"/>
    </row>
    <row r="360" ht="15.75" customHeight="1">
      <c r="H360" s="132"/>
    </row>
    <row r="361" ht="15.75" customHeight="1">
      <c r="H361" s="132"/>
    </row>
    <row r="362" ht="15.75" customHeight="1">
      <c r="H362" s="132"/>
    </row>
    <row r="363" ht="15.75" customHeight="1">
      <c r="H363" s="132"/>
    </row>
    <row r="364" ht="15.75" customHeight="1">
      <c r="H364" s="132"/>
    </row>
    <row r="365" ht="15.75" customHeight="1">
      <c r="H365" s="132"/>
    </row>
    <row r="366" ht="15.75" customHeight="1">
      <c r="H366" s="132"/>
    </row>
    <row r="367" ht="15.75" customHeight="1">
      <c r="H367" s="132"/>
    </row>
    <row r="368" ht="15.75" customHeight="1">
      <c r="H368" s="132"/>
    </row>
    <row r="369" ht="15.75" customHeight="1">
      <c r="H369" s="132"/>
    </row>
    <row r="370" ht="15.75" customHeight="1">
      <c r="H370" s="132"/>
    </row>
    <row r="371" ht="15.75" customHeight="1">
      <c r="H371" s="132"/>
    </row>
    <row r="372" ht="15.75" customHeight="1">
      <c r="H372" s="132"/>
    </row>
    <row r="373" ht="15.75" customHeight="1">
      <c r="H373" s="132"/>
    </row>
    <row r="374" ht="15.75" customHeight="1">
      <c r="H374" s="132"/>
    </row>
    <row r="375" ht="15.75" customHeight="1">
      <c r="H375" s="132"/>
    </row>
    <row r="376" ht="15.75" customHeight="1">
      <c r="H376" s="132"/>
    </row>
    <row r="377" ht="15.75" customHeight="1">
      <c r="H377" s="132"/>
    </row>
    <row r="378" ht="15.75" customHeight="1">
      <c r="H378" s="132"/>
    </row>
    <row r="379" ht="15.75" customHeight="1">
      <c r="H379" s="132"/>
    </row>
    <row r="380" ht="15.75" customHeight="1">
      <c r="H380" s="132"/>
    </row>
    <row r="381" ht="15.75" customHeight="1">
      <c r="H381" s="132"/>
    </row>
    <row r="382" ht="15.75" customHeight="1">
      <c r="H382" s="132"/>
    </row>
    <row r="383" ht="15.75" customHeight="1">
      <c r="H383" s="132"/>
    </row>
    <row r="384" ht="15.75" customHeight="1">
      <c r="H384" s="132"/>
    </row>
    <row r="385" ht="15.75" customHeight="1">
      <c r="H385" s="132"/>
    </row>
    <row r="386" ht="15.75" customHeight="1">
      <c r="H386" s="132"/>
    </row>
    <row r="387" ht="15.75" customHeight="1">
      <c r="H387" s="132"/>
    </row>
    <row r="388" ht="15.75" customHeight="1">
      <c r="H388" s="132"/>
    </row>
    <row r="389" ht="15.75" customHeight="1">
      <c r="H389" s="132"/>
    </row>
    <row r="390" ht="15.75" customHeight="1">
      <c r="H390" s="132"/>
    </row>
    <row r="391" ht="15.75" customHeight="1">
      <c r="H391" s="132"/>
    </row>
    <row r="392" ht="15.75" customHeight="1">
      <c r="H392" s="132"/>
    </row>
    <row r="393" ht="15.75" customHeight="1">
      <c r="H393" s="132"/>
    </row>
    <row r="394" ht="15.75" customHeight="1">
      <c r="H394" s="132"/>
    </row>
    <row r="395" ht="15.75" customHeight="1">
      <c r="H395" s="132"/>
    </row>
    <row r="396" ht="15.75" customHeight="1">
      <c r="H396" s="132"/>
    </row>
    <row r="397" ht="15.75" customHeight="1">
      <c r="H397" s="132"/>
    </row>
    <row r="398" ht="15.75" customHeight="1">
      <c r="H398" s="132"/>
    </row>
    <row r="399" ht="15.75" customHeight="1">
      <c r="H399" s="132"/>
    </row>
    <row r="400" ht="15.75" customHeight="1">
      <c r="H400" s="132"/>
    </row>
    <row r="401" ht="15.75" customHeight="1">
      <c r="H401" s="132"/>
    </row>
    <row r="402" ht="15.75" customHeight="1">
      <c r="H402" s="132"/>
    </row>
    <row r="403" ht="15.75" customHeight="1">
      <c r="H403" s="132"/>
    </row>
    <row r="404" ht="15.75" customHeight="1">
      <c r="H404" s="132"/>
    </row>
    <row r="405" ht="15.75" customHeight="1">
      <c r="H405" s="132"/>
    </row>
    <row r="406" ht="15.75" customHeight="1">
      <c r="H406" s="132"/>
    </row>
    <row r="407" ht="15.75" customHeight="1">
      <c r="H407" s="132"/>
    </row>
    <row r="408" ht="15.75" customHeight="1">
      <c r="H408" s="132"/>
    </row>
    <row r="409" ht="15.75" customHeight="1">
      <c r="H409" s="132"/>
    </row>
    <row r="410" ht="15.75" customHeight="1">
      <c r="H410" s="132"/>
    </row>
    <row r="411" ht="15.75" customHeight="1">
      <c r="H411" s="132"/>
    </row>
    <row r="412" ht="15.75" customHeight="1">
      <c r="H412" s="132"/>
    </row>
    <row r="413" ht="15.75" customHeight="1">
      <c r="H413" s="132"/>
    </row>
    <row r="414" ht="15.75" customHeight="1">
      <c r="H414" s="132"/>
    </row>
    <row r="415" ht="15.75" customHeight="1">
      <c r="H415" s="132"/>
    </row>
    <row r="416" ht="15.75" customHeight="1">
      <c r="H416" s="132"/>
    </row>
    <row r="417" ht="15.75" customHeight="1">
      <c r="H417" s="132"/>
    </row>
    <row r="418" ht="15.75" customHeight="1">
      <c r="H418" s="132"/>
    </row>
    <row r="419" ht="15.75" customHeight="1">
      <c r="H419" s="132"/>
    </row>
    <row r="420" ht="15.75" customHeight="1">
      <c r="H420" s="132"/>
    </row>
    <row r="421" ht="15.75" customHeight="1">
      <c r="H421" s="132"/>
    </row>
    <row r="422" ht="15.75" customHeight="1">
      <c r="H422" s="132"/>
    </row>
    <row r="423" ht="15.75" customHeight="1">
      <c r="H423" s="132"/>
    </row>
    <row r="424" ht="15.75" customHeight="1">
      <c r="H424" s="132"/>
    </row>
    <row r="425" ht="15.75" customHeight="1">
      <c r="H425" s="132"/>
    </row>
    <row r="426" ht="15.75" customHeight="1">
      <c r="H426" s="132"/>
    </row>
    <row r="427" ht="15.75" customHeight="1">
      <c r="H427" s="132"/>
    </row>
    <row r="428" ht="15.75" customHeight="1">
      <c r="H428" s="132"/>
    </row>
    <row r="429" ht="15.75" customHeight="1">
      <c r="H429" s="132"/>
    </row>
    <row r="430" ht="15.75" customHeight="1">
      <c r="H430" s="132"/>
    </row>
    <row r="431" ht="15.75" customHeight="1">
      <c r="H431" s="132"/>
    </row>
    <row r="432" ht="15.75" customHeight="1">
      <c r="H432" s="132"/>
    </row>
    <row r="433" ht="15.75" customHeight="1">
      <c r="H433" s="132"/>
    </row>
    <row r="434" ht="15.75" customHeight="1">
      <c r="H434" s="132"/>
    </row>
    <row r="435" ht="15.75" customHeight="1">
      <c r="H435" s="132"/>
    </row>
    <row r="436" ht="15.75" customHeight="1">
      <c r="H436" s="132"/>
    </row>
    <row r="437" ht="15.75" customHeight="1">
      <c r="H437" s="132"/>
    </row>
    <row r="438" ht="15.75" customHeight="1">
      <c r="H438" s="132"/>
    </row>
    <row r="439" ht="15.75" customHeight="1">
      <c r="H439" s="132"/>
    </row>
    <row r="440" ht="15.75" customHeight="1">
      <c r="H440" s="132"/>
    </row>
    <row r="441" ht="15.75" customHeight="1">
      <c r="H441" s="132"/>
    </row>
    <row r="442" ht="15.75" customHeight="1">
      <c r="H442" s="132"/>
    </row>
    <row r="443" ht="15.75" customHeight="1">
      <c r="H443" s="132"/>
    </row>
    <row r="444" ht="15.75" customHeight="1">
      <c r="H444" s="132"/>
    </row>
    <row r="445" ht="15.75" customHeight="1">
      <c r="H445" s="132"/>
    </row>
    <row r="446" ht="15.75" customHeight="1">
      <c r="H446" s="132"/>
    </row>
    <row r="447" ht="15.75" customHeight="1">
      <c r="H447" s="132"/>
    </row>
    <row r="448" ht="15.75" customHeight="1">
      <c r="H448" s="132"/>
    </row>
    <row r="449" ht="15.75" customHeight="1">
      <c r="H449" s="132"/>
    </row>
    <row r="450" ht="15.75" customHeight="1">
      <c r="H450" s="132"/>
    </row>
    <row r="451" ht="15.75" customHeight="1">
      <c r="H451" s="132"/>
    </row>
    <row r="452" ht="15.75" customHeight="1">
      <c r="H452" s="132"/>
    </row>
    <row r="453" ht="15.75" customHeight="1">
      <c r="H453" s="132"/>
    </row>
    <row r="454" ht="15.75" customHeight="1">
      <c r="H454" s="132"/>
    </row>
    <row r="455" ht="15.75" customHeight="1">
      <c r="H455" s="132"/>
    </row>
    <row r="456" ht="15.75" customHeight="1">
      <c r="H456" s="132"/>
    </row>
    <row r="457" ht="15.75" customHeight="1">
      <c r="H457" s="132"/>
    </row>
    <row r="458" ht="15.75" customHeight="1">
      <c r="H458" s="132"/>
    </row>
    <row r="459" ht="15.75" customHeight="1">
      <c r="H459" s="132"/>
    </row>
    <row r="460" ht="15.75" customHeight="1">
      <c r="H460" s="132"/>
    </row>
    <row r="461" ht="15.75" customHeight="1">
      <c r="H461" s="132"/>
    </row>
    <row r="462" ht="15.75" customHeight="1">
      <c r="H462" s="132"/>
    </row>
    <row r="463" ht="15.75" customHeight="1">
      <c r="H463" s="132"/>
    </row>
    <row r="464" ht="15.75" customHeight="1">
      <c r="H464" s="132"/>
    </row>
    <row r="465" ht="15.75" customHeight="1">
      <c r="H465" s="132"/>
    </row>
    <row r="466" ht="15.75" customHeight="1">
      <c r="H466" s="132"/>
    </row>
    <row r="467" ht="15.75" customHeight="1">
      <c r="H467" s="132"/>
    </row>
    <row r="468" ht="15.75" customHeight="1">
      <c r="H468" s="132"/>
    </row>
    <row r="469" ht="15.75" customHeight="1">
      <c r="H469" s="132"/>
    </row>
    <row r="470" ht="15.75" customHeight="1">
      <c r="H470" s="132"/>
    </row>
    <row r="471" ht="15.75" customHeight="1">
      <c r="H471" s="132"/>
    </row>
    <row r="472" ht="15.75" customHeight="1">
      <c r="H472" s="132"/>
    </row>
    <row r="473" ht="15.75" customHeight="1">
      <c r="H473" s="132"/>
    </row>
    <row r="474" ht="15.75" customHeight="1">
      <c r="H474" s="132"/>
    </row>
    <row r="475" ht="15.75" customHeight="1">
      <c r="H475" s="132"/>
    </row>
    <row r="476" ht="15.75" customHeight="1">
      <c r="H476" s="132"/>
    </row>
    <row r="477" ht="15.75" customHeight="1">
      <c r="H477" s="132"/>
    </row>
    <row r="478" ht="15.75" customHeight="1">
      <c r="H478" s="132"/>
    </row>
    <row r="479" ht="15.75" customHeight="1">
      <c r="H479" s="132"/>
    </row>
    <row r="480" ht="15.75" customHeight="1">
      <c r="H480" s="132"/>
    </row>
    <row r="481" ht="15.75" customHeight="1">
      <c r="H481" s="132"/>
    </row>
    <row r="482" ht="15.75" customHeight="1">
      <c r="H482" s="132"/>
    </row>
    <row r="483" ht="15.75" customHeight="1">
      <c r="H483" s="132"/>
    </row>
    <row r="484" ht="15.75" customHeight="1">
      <c r="H484" s="132"/>
    </row>
    <row r="485" ht="15.75" customHeight="1">
      <c r="H485" s="132"/>
    </row>
    <row r="486" ht="15.75" customHeight="1">
      <c r="H486" s="132"/>
    </row>
    <row r="487" ht="15.75" customHeight="1">
      <c r="H487" s="132"/>
    </row>
    <row r="488" ht="15.75" customHeight="1">
      <c r="H488" s="132"/>
    </row>
    <row r="489" ht="15.75" customHeight="1">
      <c r="H489" s="132"/>
    </row>
    <row r="490" ht="15.75" customHeight="1">
      <c r="H490" s="132"/>
    </row>
    <row r="491" ht="15.75" customHeight="1">
      <c r="H491" s="132"/>
    </row>
    <row r="492" ht="15.75" customHeight="1">
      <c r="H492" s="132"/>
    </row>
    <row r="493" ht="15.75" customHeight="1">
      <c r="H493" s="132"/>
    </row>
    <row r="494" ht="15.75" customHeight="1">
      <c r="H494" s="132"/>
    </row>
    <row r="495" ht="15.75" customHeight="1">
      <c r="H495" s="132"/>
    </row>
    <row r="496" ht="15.75" customHeight="1">
      <c r="H496" s="132"/>
    </row>
    <row r="497" ht="15.75" customHeight="1">
      <c r="H497" s="132"/>
    </row>
    <row r="498" ht="15.75" customHeight="1">
      <c r="H498" s="132"/>
    </row>
    <row r="499" ht="15.75" customHeight="1">
      <c r="H499" s="132"/>
    </row>
    <row r="500" ht="15.75" customHeight="1">
      <c r="H500" s="132"/>
    </row>
    <row r="501" ht="15.75" customHeight="1">
      <c r="H501" s="132"/>
    </row>
    <row r="502" ht="15.75" customHeight="1">
      <c r="H502" s="132"/>
    </row>
    <row r="503" ht="15.75" customHeight="1">
      <c r="H503" s="132"/>
    </row>
    <row r="504" ht="15.75" customHeight="1">
      <c r="H504" s="132"/>
    </row>
    <row r="505" ht="15.75" customHeight="1">
      <c r="H505" s="132"/>
    </row>
    <row r="506" ht="15.75" customHeight="1">
      <c r="H506" s="132"/>
    </row>
    <row r="507" ht="15.75" customHeight="1">
      <c r="H507" s="132"/>
    </row>
    <row r="508" ht="15.75" customHeight="1">
      <c r="H508" s="132"/>
    </row>
    <row r="509" ht="15.75" customHeight="1">
      <c r="H509" s="132"/>
    </row>
    <row r="510" ht="15.75" customHeight="1">
      <c r="H510" s="132"/>
    </row>
    <row r="511" ht="15.75" customHeight="1">
      <c r="H511" s="132"/>
    </row>
    <row r="512" ht="15.75" customHeight="1">
      <c r="H512" s="132"/>
    </row>
    <row r="513" ht="15.75" customHeight="1">
      <c r="H513" s="132"/>
    </row>
    <row r="514" ht="15.75" customHeight="1">
      <c r="H514" s="132"/>
    </row>
    <row r="515" ht="15.75" customHeight="1">
      <c r="H515" s="132"/>
    </row>
    <row r="516" ht="15.75" customHeight="1">
      <c r="H516" s="132"/>
    </row>
    <row r="517" ht="15.75" customHeight="1">
      <c r="H517" s="132"/>
    </row>
    <row r="518" ht="15.75" customHeight="1">
      <c r="H518" s="132"/>
    </row>
    <row r="519" ht="15.75" customHeight="1">
      <c r="H519" s="132"/>
    </row>
    <row r="520" ht="15.75" customHeight="1">
      <c r="H520" s="132"/>
    </row>
    <row r="521" ht="15.75" customHeight="1">
      <c r="H521" s="132"/>
    </row>
    <row r="522" ht="15.75" customHeight="1">
      <c r="H522" s="132"/>
    </row>
    <row r="523" ht="15.75" customHeight="1">
      <c r="H523" s="132"/>
    </row>
    <row r="524" ht="15.75" customHeight="1">
      <c r="H524" s="132"/>
    </row>
    <row r="525" ht="15.75" customHeight="1">
      <c r="H525" s="132"/>
    </row>
    <row r="526" ht="15.75" customHeight="1">
      <c r="H526" s="132"/>
    </row>
    <row r="527" ht="15.75" customHeight="1">
      <c r="H527" s="132"/>
    </row>
    <row r="528" ht="15.75" customHeight="1">
      <c r="H528" s="132"/>
    </row>
    <row r="529" ht="15.75" customHeight="1">
      <c r="H529" s="132"/>
    </row>
    <row r="530" ht="15.75" customHeight="1">
      <c r="H530" s="132"/>
    </row>
    <row r="531" ht="15.75" customHeight="1">
      <c r="H531" s="132"/>
    </row>
    <row r="532" ht="15.75" customHeight="1">
      <c r="H532" s="132"/>
    </row>
    <row r="533" ht="15.75" customHeight="1">
      <c r="H533" s="132"/>
    </row>
    <row r="534" ht="15.75" customHeight="1">
      <c r="H534" s="132"/>
    </row>
    <row r="535" ht="15.75" customHeight="1">
      <c r="H535" s="132"/>
    </row>
    <row r="536" ht="15.75" customHeight="1">
      <c r="H536" s="132"/>
    </row>
    <row r="537" ht="15.75" customHeight="1">
      <c r="H537" s="132"/>
    </row>
    <row r="538" ht="15.75" customHeight="1">
      <c r="H538" s="132"/>
    </row>
    <row r="539" ht="15.75" customHeight="1">
      <c r="H539" s="132"/>
    </row>
    <row r="540" ht="15.75" customHeight="1">
      <c r="H540" s="132"/>
    </row>
    <row r="541" ht="15.75" customHeight="1">
      <c r="H541" s="132"/>
    </row>
    <row r="542" ht="15.75" customHeight="1">
      <c r="H542" s="132"/>
    </row>
    <row r="543" ht="15.75" customHeight="1">
      <c r="H543" s="132"/>
    </row>
    <row r="544" ht="15.75" customHeight="1">
      <c r="H544" s="132"/>
    </row>
    <row r="545" ht="15.75" customHeight="1">
      <c r="H545" s="132"/>
    </row>
    <row r="546" ht="15.75" customHeight="1">
      <c r="H546" s="132"/>
    </row>
    <row r="547" ht="15.75" customHeight="1">
      <c r="H547" s="132"/>
    </row>
    <row r="548" ht="15.75" customHeight="1">
      <c r="H548" s="132"/>
    </row>
    <row r="549" ht="15.75" customHeight="1">
      <c r="H549" s="132"/>
    </row>
    <row r="550" ht="15.75" customHeight="1">
      <c r="H550" s="132"/>
    </row>
    <row r="551" ht="15.75" customHeight="1">
      <c r="H551" s="132"/>
    </row>
    <row r="552" ht="15.75" customHeight="1">
      <c r="H552" s="132"/>
    </row>
    <row r="553" ht="15.75" customHeight="1">
      <c r="H553" s="132"/>
    </row>
    <row r="554" ht="15.75" customHeight="1">
      <c r="H554" s="132"/>
    </row>
    <row r="555" ht="15.75" customHeight="1">
      <c r="H555" s="132"/>
    </row>
    <row r="556" ht="15.75" customHeight="1">
      <c r="H556" s="132"/>
    </row>
    <row r="557" ht="15.75" customHeight="1">
      <c r="H557" s="132"/>
    </row>
    <row r="558" ht="15.75" customHeight="1">
      <c r="H558" s="132"/>
    </row>
    <row r="559" ht="15.75" customHeight="1">
      <c r="H559" s="132"/>
    </row>
    <row r="560" ht="15.75" customHeight="1">
      <c r="H560" s="132"/>
    </row>
    <row r="561" ht="15.75" customHeight="1">
      <c r="H561" s="132"/>
    </row>
    <row r="562" ht="15.75" customHeight="1">
      <c r="H562" s="132"/>
    </row>
    <row r="563" ht="15.75" customHeight="1">
      <c r="H563" s="132"/>
    </row>
    <row r="564" ht="15.75" customHeight="1">
      <c r="H564" s="132"/>
    </row>
    <row r="565" ht="15.75" customHeight="1">
      <c r="H565" s="132"/>
    </row>
    <row r="566" ht="15.75" customHeight="1">
      <c r="H566" s="132"/>
    </row>
    <row r="567" ht="15.75" customHeight="1">
      <c r="H567" s="132"/>
    </row>
    <row r="568" ht="15.75" customHeight="1">
      <c r="H568" s="132"/>
    </row>
    <row r="569" ht="15.75" customHeight="1">
      <c r="H569" s="132"/>
    </row>
    <row r="570" ht="15.75" customHeight="1">
      <c r="H570" s="132"/>
    </row>
    <row r="571" ht="15.75" customHeight="1">
      <c r="H571" s="132"/>
    </row>
    <row r="572" ht="15.75" customHeight="1">
      <c r="H572" s="132"/>
    </row>
    <row r="573" ht="15.75" customHeight="1">
      <c r="H573" s="132"/>
    </row>
    <row r="574" ht="15.75" customHeight="1">
      <c r="H574" s="132"/>
    </row>
    <row r="575" ht="15.75" customHeight="1">
      <c r="H575" s="132"/>
    </row>
    <row r="576" ht="15.75" customHeight="1">
      <c r="H576" s="132"/>
    </row>
    <row r="577" ht="15.75" customHeight="1">
      <c r="H577" s="132"/>
    </row>
    <row r="578" ht="15.75" customHeight="1">
      <c r="H578" s="132"/>
    </row>
    <row r="579" ht="15.75" customHeight="1">
      <c r="H579" s="132"/>
    </row>
    <row r="580" ht="15.75" customHeight="1">
      <c r="H580" s="132"/>
    </row>
    <row r="581" ht="15.75" customHeight="1">
      <c r="H581" s="132"/>
    </row>
    <row r="582" ht="15.75" customHeight="1">
      <c r="H582" s="132"/>
    </row>
    <row r="583" ht="15.75" customHeight="1">
      <c r="H583" s="132"/>
    </row>
    <row r="584" ht="15.75" customHeight="1">
      <c r="H584" s="132"/>
    </row>
    <row r="585" ht="15.75" customHeight="1">
      <c r="H585" s="132"/>
    </row>
    <row r="586" ht="15.75" customHeight="1">
      <c r="H586" s="132"/>
    </row>
    <row r="587" ht="15.75" customHeight="1">
      <c r="H587" s="132"/>
    </row>
    <row r="588" ht="15.75" customHeight="1">
      <c r="H588" s="132"/>
    </row>
    <row r="589" ht="15.75" customHeight="1">
      <c r="H589" s="132"/>
    </row>
    <row r="590" ht="15.75" customHeight="1">
      <c r="H590" s="132"/>
    </row>
    <row r="591" ht="15.75" customHeight="1">
      <c r="H591" s="132"/>
    </row>
    <row r="592" ht="15.75" customHeight="1">
      <c r="H592" s="132"/>
    </row>
    <row r="593" ht="15.75" customHeight="1">
      <c r="H593" s="132"/>
    </row>
    <row r="594" ht="15.75" customHeight="1">
      <c r="H594" s="132"/>
    </row>
    <row r="595" ht="15.75" customHeight="1">
      <c r="H595" s="132"/>
    </row>
    <row r="596" ht="15.75" customHeight="1">
      <c r="H596" s="132"/>
    </row>
    <row r="597" ht="15.75" customHeight="1">
      <c r="H597" s="132"/>
    </row>
    <row r="598" ht="15.75" customHeight="1">
      <c r="H598" s="132"/>
    </row>
    <row r="599" ht="15.75" customHeight="1">
      <c r="H599" s="132"/>
    </row>
    <row r="600" ht="15.75" customHeight="1">
      <c r="H600" s="132"/>
    </row>
    <row r="601" ht="15.75" customHeight="1">
      <c r="H601" s="132"/>
    </row>
    <row r="602" ht="15.75" customHeight="1">
      <c r="H602" s="132"/>
    </row>
    <row r="603" ht="15.75" customHeight="1">
      <c r="H603" s="132"/>
    </row>
    <row r="604" ht="15.75" customHeight="1">
      <c r="H604" s="132"/>
    </row>
    <row r="605" ht="15.75" customHeight="1">
      <c r="H605" s="132"/>
    </row>
    <row r="606" ht="15.75" customHeight="1">
      <c r="H606" s="132"/>
    </row>
    <row r="607" ht="15.75" customHeight="1">
      <c r="H607" s="132"/>
    </row>
    <row r="608" ht="15.75" customHeight="1">
      <c r="H608" s="132"/>
    </row>
    <row r="609" ht="15.75" customHeight="1">
      <c r="H609" s="132"/>
    </row>
    <row r="610" ht="15.75" customHeight="1">
      <c r="H610" s="132"/>
    </row>
    <row r="611" ht="15.75" customHeight="1">
      <c r="H611" s="132"/>
    </row>
    <row r="612" ht="15.75" customHeight="1">
      <c r="H612" s="132"/>
    </row>
    <row r="613" ht="15.75" customHeight="1">
      <c r="H613" s="132"/>
    </row>
    <row r="614" ht="15.75" customHeight="1">
      <c r="H614" s="132"/>
    </row>
    <row r="615" ht="15.75" customHeight="1">
      <c r="H615" s="132"/>
    </row>
    <row r="616" ht="15.75" customHeight="1">
      <c r="H616" s="132"/>
    </row>
    <row r="617" ht="15.75" customHeight="1">
      <c r="H617" s="132"/>
    </row>
    <row r="618" ht="15.75" customHeight="1">
      <c r="H618" s="132"/>
    </row>
    <row r="619" ht="15.75" customHeight="1">
      <c r="H619" s="132"/>
    </row>
    <row r="620" ht="15.75" customHeight="1">
      <c r="H620" s="132"/>
    </row>
    <row r="621" ht="15.75" customHeight="1">
      <c r="H621" s="132"/>
    </row>
    <row r="622" ht="15.75" customHeight="1">
      <c r="H622" s="132"/>
    </row>
    <row r="623" ht="15.75" customHeight="1">
      <c r="H623" s="132"/>
    </row>
    <row r="624" ht="15.75" customHeight="1">
      <c r="H624" s="132"/>
    </row>
    <row r="625" ht="15.75" customHeight="1">
      <c r="H625" s="132"/>
    </row>
    <row r="626" ht="15.75" customHeight="1">
      <c r="H626" s="132"/>
    </row>
    <row r="627" ht="15.75" customHeight="1">
      <c r="H627" s="132"/>
    </row>
    <row r="628" ht="15.75" customHeight="1">
      <c r="H628" s="132"/>
    </row>
    <row r="629" ht="15.75" customHeight="1">
      <c r="H629" s="132"/>
    </row>
    <row r="630" ht="15.75" customHeight="1">
      <c r="H630" s="132"/>
    </row>
    <row r="631" ht="15.75" customHeight="1">
      <c r="H631" s="132"/>
    </row>
    <row r="632" ht="15.75" customHeight="1">
      <c r="H632" s="132"/>
    </row>
    <row r="633" ht="15.75" customHeight="1">
      <c r="H633" s="132"/>
    </row>
    <row r="634" ht="15.75" customHeight="1">
      <c r="H634" s="132"/>
    </row>
    <row r="635" ht="15.75" customHeight="1">
      <c r="H635" s="132"/>
    </row>
    <row r="636" ht="15.75" customHeight="1">
      <c r="H636" s="132"/>
    </row>
    <row r="637" ht="15.75" customHeight="1">
      <c r="H637" s="132"/>
    </row>
    <row r="638" ht="15.75" customHeight="1">
      <c r="H638" s="132"/>
    </row>
    <row r="639" ht="15.75" customHeight="1">
      <c r="H639" s="132"/>
    </row>
    <row r="640" ht="15.75" customHeight="1">
      <c r="H640" s="132"/>
    </row>
    <row r="641" ht="15.75" customHeight="1">
      <c r="H641" s="132"/>
    </row>
    <row r="642" ht="15.75" customHeight="1">
      <c r="H642" s="132"/>
    </row>
    <row r="643" ht="15.75" customHeight="1">
      <c r="H643" s="132"/>
    </row>
    <row r="644" ht="15.75" customHeight="1">
      <c r="H644" s="132"/>
    </row>
    <row r="645" ht="15.75" customHeight="1">
      <c r="H645" s="132"/>
    </row>
    <row r="646" ht="15.75" customHeight="1">
      <c r="H646" s="132"/>
    </row>
    <row r="647" ht="15.75" customHeight="1">
      <c r="H647" s="132"/>
    </row>
    <row r="648" ht="15.75" customHeight="1">
      <c r="H648" s="132"/>
    </row>
    <row r="649" ht="15.75" customHeight="1">
      <c r="H649" s="132"/>
    </row>
    <row r="650" ht="15.75" customHeight="1">
      <c r="H650" s="132"/>
    </row>
    <row r="651" ht="15.75" customHeight="1">
      <c r="H651" s="132"/>
    </row>
    <row r="652" ht="15.75" customHeight="1">
      <c r="H652" s="132"/>
    </row>
    <row r="653" ht="15.75" customHeight="1">
      <c r="H653" s="132"/>
    </row>
    <row r="654" ht="15.75" customHeight="1">
      <c r="H654" s="132"/>
    </row>
    <row r="655" ht="15.75" customHeight="1">
      <c r="H655" s="132"/>
    </row>
    <row r="656" ht="15.75" customHeight="1">
      <c r="H656" s="132"/>
    </row>
    <row r="657" ht="15.75" customHeight="1">
      <c r="H657" s="132"/>
    </row>
    <row r="658" ht="15.75" customHeight="1">
      <c r="H658" s="132"/>
    </row>
    <row r="659" ht="15.75" customHeight="1">
      <c r="H659" s="132"/>
    </row>
    <row r="660" ht="15.75" customHeight="1">
      <c r="H660" s="132"/>
    </row>
    <row r="661" ht="15.75" customHeight="1">
      <c r="H661" s="132"/>
    </row>
    <row r="662" ht="15.75" customHeight="1">
      <c r="H662" s="132"/>
    </row>
    <row r="663" ht="15.75" customHeight="1">
      <c r="H663" s="132"/>
    </row>
    <row r="664" ht="15.75" customHeight="1">
      <c r="H664" s="132"/>
    </row>
    <row r="665" ht="15.75" customHeight="1">
      <c r="H665" s="132"/>
    </row>
    <row r="666" ht="15.75" customHeight="1">
      <c r="H666" s="132"/>
    </row>
    <row r="667" ht="15.75" customHeight="1">
      <c r="H667" s="132"/>
    </row>
    <row r="668" ht="15.75" customHeight="1">
      <c r="H668" s="132"/>
    </row>
    <row r="669" ht="15.75" customHeight="1">
      <c r="H669" s="132"/>
    </row>
    <row r="670" ht="15.75" customHeight="1">
      <c r="H670" s="132"/>
    </row>
    <row r="671" ht="15.75" customHeight="1">
      <c r="H671" s="132"/>
    </row>
    <row r="672" ht="15.75" customHeight="1">
      <c r="H672" s="132"/>
    </row>
    <row r="673" ht="15.75" customHeight="1">
      <c r="H673" s="132"/>
    </row>
    <row r="674" ht="15.75" customHeight="1">
      <c r="H674" s="132"/>
    </row>
    <row r="675" ht="15.75" customHeight="1">
      <c r="H675" s="132"/>
    </row>
    <row r="676" ht="15.75" customHeight="1">
      <c r="H676" s="132"/>
    </row>
    <row r="677" ht="15.75" customHeight="1">
      <c r="H677" s="132"/>
    </row>
    <row r="678" ht="15.75" customHeight="1">
      <c r="H678" s="132"/>
    </row>
    <row r="679" ht="15.75" customHeight="1">
      <c r="H679" s="132"/>
    </row>
    <row r="680" ht="15.75" customHeight="1">
      <c r="H680" s="132"/>
    </row>
    <row r="681" ht="15.75" customHeight="1">
      <c r="H681" s="132"/>
    </row>
    <row r="682" ht="15.75" customHeight="1">
      <c r="H682" s="132"/>
    </row>
    <row r="683" ht="15.75" customHeight="1">
      <c r="H683" s="132"/>
    </row>
    <row r="684" ht="15.75" customHeight="1">
      <c r="H684" s="132"/>
    </row>
    <row r="685" ht="15.75" customHeight="1">
      <c r="H685" s="132"/>
    </row>
    <row r="686" ht="15.75" customHeight="1">
      <c r="H686" s="132"/>
    </row>
    <row r="687" ht="15.75" customHeight="1">
      <c r="H687" s="132"/>
    </row>
    <row r="688" ht="15.75" customHeight="1">
      <c r="H688" s="132"/>
    </row>
    <row r="689" ht="15.75" customHeight="1">
      <c r="H689" s="132"/>
    </row>
    <row r="690" ht="15.75" customHeight="1">
      <c r="H690" s="132"/>
    </row>
    <row r="691" ht="15.75" customHeight="1">
      <c r="H691" s="132"/>
    </row>
    <row r="692" ht="15.75" customHeight="1">
      <c r="H692" s="132"/>
    </row>
    <row r="693" ht="15.75" customHeight="1">
      <c r="H693" s="132"/>
    </row>
    <row r="694" ht="15.75" customHeight="1">
      <c r="H694" s="132"/>
    </row>
    <row r="695" ht="15.75" customHeight="1">
      <c r="H695" s="132"/>
    </row>
    <row r="696" ht="15.75" customHeight="1">
      <c r="H696" s="132"/>
    </row>
    <row r="697" ht="15.75" customHeight="1">
      <c r="H697" s="132"/>
    </row>
    <row r="698" ht="15.75" customHeight="1">
      <c r="H698" s="132"/>
    </row>
    <row r="699" ht="15.75" customHeight="1">
      <c r="H699" s="132"/>
    </row>
    <row r="700" ht="15.75" customHeight="1">
      <c r="H700" s="132"/>
    </row>
    <row r="701" ht="15.75" customHeight="1">
      <c r="H701" s="132"/>
    </row>
    <row r="702" ht="15.75" customHeight="1">
      <c r="H702" s="132"/>
    </row>
    <row r="703" ht="15.75" customHeight="1">
      <c r="H703" s="132"/>
    </row>
    <row r="704" ht="15.75" customHeight="1">
      <c r="H704" s="132"/>
    </row>
    <row r="705" ht="15.75" customHeight="1">
      <c r="H705" s="132"/>
    </row>
    <row r="706" ht="15.75" customHeight="1">
      <c r="H706" s="132"/>
    </row>
    <row r="707" ht="15.75" customHeight="1">
      <c r="H707" s="132"/>
    </row>
    <row r="708" ht="15.75" customHeight="1">
      <c r="H708" s="132"/>
    </row>
    <row r="709" ht="15.75" customHeight="1">
      <c r="H709" s="132"/>
    </row>
    <row r="710" ht="15.75" customHeight="1">
      <c r="H710" s="132"/>
    </row>
    <row r="711" ht="15.75" customHeight="1">
      <c r="H711" s="132"/>
    </row>
    <row r="712" ht="15.75" customHeight="1">
      <c r="H712" s="132"/>
    </row>
    <row r="713" ht="15.75" customHeight="1">
      <c r="H713" s="132"/>
    </row>
    <row r="714" ht="15.75" customHeight="1">
      <c r="H714" s="132"/>
    </row>
    <row r="715" ht="15.75" customHeight="1">
      <c r="H715" s="132"/>
    </row>
    <row r="716" ht="15.75" customHeight="1">
      <c r="H716" s="132"/>
    </row>
    <row r="717" ht="15.75" customHeight="1">
      <c r="H717" s="132"/>
    </row>
    <row r="718" ht="15.75" customHeight="1">
      <c r="H718" s="132"/>
    </row>
    <row r="719" ht="15.75" customHeight="1">
      <c r="H719" s="132"/>
    </row>
    <row r="720" ht="15.75" customHeight="1">
      <c r="H720" s="132"/>
    </row>
    <row r="721" ht="15.75" customHeight="1">
      <c r="H721" s="132"/>
    </row>
    <row r="722" ht="15.75" customHeight="1">
      <c r="H722" s="132"/>
    </row>
    <row r="723" ht="15.75" customHeight="1">
      <c r="H723" s="132"/>
    </row>
    <row r="724" ht="15.75" customHeight="1">
      <c r="H724" s="132"/>
    </row>
    <row r="725" ht="15.75" customHeight="1">
      <c r="H725" s="132"/>
    </row>
    <row r="726" ht="15.75" customHeight="1">
      <c r="H726" s="132"/>
    </row>
    <row r="727" ht="15.75" customHeight="1">
      <c r="H727" s="132"/>
    </row>
    <row r="728" ht="15.75" customHeight="1">
      <c r="H728" s="132"/>
    </row>
    <row r="729" ht="15.75" customHeight="1">
      <c r="H729" s="132"/>
    </row>
    <row r="730" ht="15.75" customHeight="1">
      <c r="H730" s="132"/>
    </row>
    <row r="731" ht="15.75" customHeight="1">
      <c r="H731" s="132"/>
    </row>
    <row r="732" ht="15.75" customHeight="1">
      <c r="H732" s="132"/>
    </row>
    <row r="733" ht="15.75" customHeight="1">
      <c r="H733" s="132"/>
    </row>
    <row r="734" ht="15.75" customHeight="1">
      <c r="H734" s="132"/>
    </row>
    <row r="735" ht="15.75" customHeight="1">
      <c r="H735" s="132"/>
    </row>
    <row r="736" ht="15.75" customHeight="1">
      <c r="H736" s="132"/>
    </row>
    <row r="737" ht="15.75" customHeight="1">
      <c r="H737" s="132"/>
    </row>
    <row r="738" ht="15.75" customHeight="1">
      <c r="H738" s="132"/>
    </row>
    <row r="739" ht="15.75" customHeight="1">
      <c r="H739" s="132"/>
    </row>
    <row r="740" ht="15.75" customHeight="1">
      <c r="H740" s="132"/>
    </row>
    <row r="741" ht="15.75" customHeight="1">
      <c r="H741" s="132"/>
    </row>
    <row r="742" ht="15.75" customHeight="1">
      <c r="H742" s="132"/>
    </row>
    <row r="743" ht="15.75" customHeight="1">
      <c r="H743" s="132"/>
    </row>
    <row r="744" ht="15.75" customHeight="1">
      <c r="H744" s="132"/>
    </row>
    <row r="745" ht="15.75" customHeight="1">
      <c r="H745" s="132"/>
    </row>
    <row r="746" ht="15.75" customHeight="1">
      <c r="H746" s="132"/>
    </row>
    <row r="747" ht="15.75" customHeight="1">
      <c r="H747" s="132"/>
    </row>
    <row r="748" ht="15.75" customHeight="1">
      <c r="H748" s="132"/>
    </row>
    <row r="749" ht="15.75" customHeight="1">
      <c r="H749" s="132"/>
    </row>
    <row r="750" ht="15.75" customHeight="1">
      <c r="H750" s="132"/>
    </row>
    <row r="751" ht="15.75" customHeight="1">
      <c r="H751" s="132"/>
    </row>
    <row r="752" ht="15.75" customHeight="1">
      <c r="H752" s="132"/>
    </row>
    <row r="753" ht="15.75" customHeight="1">
      <c r="H753" s="132"/>
    </row>
    <row r="754" ht="15.75" customHeight="1">
      <c r="H754" s="132"/>
    </row>
    <row r="755" ht="15.75" customHeight="1">
      <c r="H755" s="132"/>
    </row>
    <row r="756" ht="15.75" customHeight="1">
      <c r="H756" s="132"/>
    </row>
    <row r="757" ht="15.75" customHeight="1">
      <c r="H757" s="132"/>
    </row>
    <row r="758" ht="15.75" customHeight="1">
      <c r="H758" s="132"/>
    </row>
    <row r="759" ht="15.75" customHeight="1">
      <c r="H759" s="132"/>
    </row>
    <row r="760" ht="15.75" customHeight="1">
      <c r="H760" s="132"/>
    </row>
    <row r="761" ht="15.75" customHeight="1">
      <c r="H761" s="132"/>
    </row>
    <row r="762" ht="15.75" customHeight="1">
      <c r="H762" s="132"/>
    </row>
    <row r="763" ht="15.75" customHeight="1">
      <c r="H763" s="132"/>
    </row>
    <row r="764" ht="15.75" customHeight="1">
      <c r="H764" s="132"/>
    </row>
    <row r="765" ht="15.75" customHeight="1">
      <c r="H765" s="132"/>
    </row>
    <row r="766" ht="15.75" customHeight="1">
      <c r="H766" s="132"/>
    </row>
    <row r="767" ht="15.75" customHeight="1">
      <c r="H767" s="132"/>
    </row>
    <row r="768" ht="15.75" customHeight="1">
      <c r="H768" s="132"/>
    </row>
    <row r="769" ht="15.75" customHeight="1">
      <c r="H769" s="132"/>
    </row>
    <row r="770" ht="15.75" customHeight="1">
      <c r="H770" s="132"/>
    </row>
    <row r="771" ht="15.75" customHeight="1">
      <c r="H771" s="132"/>
    </row>
    <row r="772" ht="15.75" customHeight="1">
      <c r="H772" s="132"/>
    </row>
    <row r="773" ht="15.75" customHeight="1">
      <c r="H773" s="132"/>
    </row>
    <row r="774" ht="15.75" customHeight="1">
      <c r="H774" s="132"/>
    </row>
    <row r="775" ht="15.75" customHeight="1">
      <c r="H775" s="132"/>
    </row>
    <row r="776" ht="15.75" customHeight="1">
      <c r="H776" s="132"/>
    </row>
    <row r="777" ht="15.75" customHeight="1">
      <c r="H777" s="132"/>
    </row>
    <row r="778" ht="15.75" customHeight="1">
      <c r="H778" s="132"/>
    </row>
    <row r="779" ht="15.75" customHeight="1">
      <c r="H779" s="132"/>
    </row>
    <row r="780" ht="15.75" customHeight="1">
      <c r="H780" s="132"/>
    </row>
    <row r="781" ht="15.75" customHeight="1">
      <c r="H781" s="132"/>
    </row>
    <row r="782" ht="15.75" customHeight="1">
      <c r="H782" s="132"/>
    </row>
    <row r="783" ht="15.75" customHeight="1">
      <c r="H783" s="132"/>
    </row>
    <row r="784" ht="15.75" customHeight="1">
      <c r="H784" s="132"/>
    </row>
    <row r="785" ht="15.75" customHeight="1">
      <c r="H785" s="132"/>
    </row>
    <row r="786" ht="15.75" customHeight="1">
      <c r="H786" s="132"/>
    </row>
    <row r="787" ht="15.75" customHeight="1">
      <c r="H787" s="132"/>
    </row>
    <row r="788" ht="15.75" customHeight="1">
      <c r="H788" s="132"/>
    </row>
    <row r="789" ht="15.75" customHeight="1">
      <c r="H789" s="132"/>
    </row>
    <row r="790" ht="15.75" customHeight="1">
      <c r="H790" s="132"/>
    </row>
    <row r="791" ht="15.75" customHeight="1">
      <c r="H791" s="132"/>
    </row>
    <row r="792" ht="15.75" customHeight="1">
      <c r="H792" s="132"/>
    </row>
    <row r="793" ht="15.75" customHeight="1">
      <c r="H793" s="132"/>
    </row>
    <row r="794" ht="15.75" customHeight="1">
      <c r="H794" s="132"/>
    </row>
    <row r="795" ht="15.75" customHeight="1">
      <c r="H795" s="132"/>
    </row>
    <row r="796" ht="15.75" customHeight="1">
      <c r="H796" s="132"/>
    </row>
    <row r="797" ht="15.75" customHeight="1">
      <c r="H797" s="132"/>
    </row>
    <row r="798" ht="15.75" customHeight="1">
      <c r="H798" s="132"/>
    </row>
    <row r="799" ht="15.75" customHeight="1">
      <c r="H799" s="132"/>
    </row>
    <row r="800" ht="15.75" customHeight="1">
      <c r="H800" s="132"/>
    </row>
    <row r="801" ht="15.75" customHeight="1">
      <c r="H801" s="132"/>
    </row>
    <row r="802" ht="15.75" customHeight="1">
      <c r="H802" s="132"/>
    </row>
    <row r="803" ht="15.75" customHeight="1">
      <c r="H803" s="132"/>
    </row>
    <row r="804" ht="15.75" customHeight="1">
      <c r="H804" s="132"/>
    </row>
    <row r="805" ht="15.75" customHeight="1">
      <c r="H805" s="132"/>
    </row>
    <row r="806" ht="15.75" customHeight="1">
      <c r="H806" s="132"/>
    </row>
    <row r="807" ht="15.75" customHeight="1">
      <c r="H807" s="132"/>
    </row>
    <row r="808" ht="15.75" customHeight="1">
      <c r="H808" s="132"/>
    </row>
    <row r="809" ht="15.75" customHeight="1">
      <c r="H809" s="132"/>
    </row>
    <row r="810" ht="15.75" customHeight="1">
      <c r="H810" s="132"/>
    </row>
    <row r="811" ht="15.75" customHeight="1">
      <c r="H811" s="132"/>
    </row>
    <row r="812" ht="15.75" customHeight="1">
      <c r="H812" s="132"/>
    </row>
    <row r="813" ht="15.75" customHeight="1">
      <c r="H813" s="132"/>
    </row>
    <row r="814" ht="15.75" customHeight="1">
      <c r="H814" s="132"/>
    </row>
    <row r="815" ht="15.75" customHeight="1">
      <c r="H815" s="132"/>
    </row>
    <row r="816" ht="15.75" customHeight="1">
      <c r="H816" s="132"/>
    </row>
    <row r="817" ht="15.75" customHeight="1">
      <c r="H817" s="132"/>
    </row>
    <row r="818" ht="15.75" customHeight="1">
      <c r="H818" s="132"/>
    </row>
    <row r="819" ht="15.75" customHeight="1">
      <c r="H819" s="132"/>
    </row>
    <row r="820" ht="15.75" customHeight="1">
      <c r="H820" s="132"/>
    </row>
    <row r="821" ht="15.75" customHeight="1">
      <c r="H821" s="132"/>
    </row>
    <row r="822" ht="15.75" customHeight="1">
      <c r="H822" s="132"/>
    </row>
    <row r="823" ht="15.75" customHeight="1">
      <c r="H823" s="132"/>
    </row>
    <row r="824" ht="15.75" customHeight="1">
      <c r="H824" s="132"/>
    </row>
    <row r="825" ht="15.75" customHeight="1">
      <c r="H825" s="132"/>
    </row>
    <row r="826" ht="15.75" customHeight="1">
      <c r="H826" s="132"/>
    </row>
    <row r="827" ht="15.75" customHeight="1">
      <c r="H827" s="132"/>
    </row>
    <row r="828" ht="15.75" customHeight="1">
      <c r="H828" s="132"/>
    </row>
    <row r="829" ht="15.75" customHeight="1">
      <c r="H829" s="132"/>
    </row>
    <row r="830" ht="15.75" customHeight="1">
      <c r="H830" s="132"/>
    </row>
    <row r="831" ht="15.75" customHeight="1">
      <c r="H831" s="132"/>
    </row>
    <row r="832" ht="15.75" customHeight="1">
      <c r="H832" s="132"/>
    </row>
    <row r="833" ht="15.75" customHeight="1">
      <c r="H833" s="132"/>
    </row>
    <row r="834" ht="15.75" customHeight="1">
      <c r="H834" s="132"/>
    </row>
    <row r="835" ht="15.75" customHeight="1">
      <c r="H835" s="132"/>
    </row>
    <row r="836" ht="15.75" customHeight="1">
      <c r="H836" s="132"/>
    </row>
    <row r="837" ht="15.75" customHeight="1">
      <c r="H837" s="132"/>
    </row>
    <row r="838" ht="15.75" customHeight="1">
      <c r="H838" s="132"/>
    </row>
    <row r="839" ht="15.75" customHeight="1">
      <c r="H839" s="132"/>
    </row>
    <row r="840" ht="15.75" customHeight="1">
      <c r="H840" s="132"/>
    </row>
    <row r="841" ht="15.75" customHeight="1">
      <c r="H841" s="132"/>
    </row>
    <row r="842" ht="15.75" customHeight="1">
      <c r="H842" s="132"/>
    </row>
    <row r="843" ht="15.75" customHeight="1">
      <c r="H843" s="132"/>
    </row>
    <row r="844" ht="15.75" customHeight="1">
      <c r="H844" s="132"/>
    </row>
    <row r="845" ht="15.75" customHeight="1">
      <c r="H845" s="132"/>
    </row>
    <row r="846" ht="15.75" customHeight="1">
      <c r="H846" s="132"/>
    </row>
    <row r="847" ht="15.75" customHeight="1">
      <c r="H847" s="132"/>
    </row>
    <row r="848" ht="15.75" customHeight="1">
      <c r="H848" s="132"/>
    </row>
    <row r="849" ht="15.75" customHeight="1">
      <c r="H849" s="132"/>
    </row>
    <row r="850" ht="15.75" customHeight="1">
      <c r="H850" s="132"/>
    </row>
    <row r="851" ht="15.75" customHeight="1">
      <c r="H851" s="132"/>
    </row>
    <row r="852" ht="15.75" customHeight="1">
      <c r="H852" s="132"/>
    </row>
    <row r="853" ht="15.75" customHeight="1">
      <c r="H853" s="132"/>
    </row>
    <row r="854" ht="15.75" customHeight="1">
      <c r="H854" s="132"/>
    </row>
    <row r="855" ht="15.75" customHeight="1">
      <c r="H855" s="132"/>
    </row>
    <row r="856" ht="15.75" customHeight="1">
      <c r="H856" s="132"/>
    </row>
    <row r="857" ht="15.75" customHeight="1">
      <c r="H857" s="132"/>
    </row>
    <row r="858" ht="15.75" customHeight="1">
      <c r="H858" s="132"/>
    </row>
    <row r="859" ht="15.75" customHeight="1">
      <c r="H859" s="132"/>
    </row>
    <row r="860" ht="15.75" customHeight="1">
      <c r="H860" s="132"/>
    </row>
    <row r="861" ht="15.75" customHeight="1">
      <c r="H861" s="132"/>
    </row>
    <row r="862" ht="15.75" customHeight="1">
      <c r="H862" s="132"/>
    </row>
    <row r="863" ht="15.75" customHeight="1">
      <c r="H863" s="132"/>
    </row>
    <row r="864" ht="15.75" customHeight="1">
      <c r="H864" s="132"/>
    </row>
    <row r="865" ht="15.75" customHeight="1">
      <c r="H865" s="132"/>
    </row>
    <row r="866" ht="15.75" customHeight="1">
      <c r="H866" s="132"/>
    </row>
    <row r="867" ht="15.75" customHeight="1">
      <c r="H867" s="132"/>
    </row>
    <row r="868" ht="15.75" customHeight="1">
      <c r="H868" s="132"/>
    </row>
    <row r="869" ht="15.75" customHeight="1">
      <c r="H869" s="132"/>
    </row>
    <row r="870" ht="15.75" customHeight="1">
      <c r="H870" s="132"/>
    </row>
    <row r="871" ht="15.75" customHeight="1">
      <c r="H871" s="132"/>
    </row>
    <row r="872" ht="15.75" customHeight="1">
      <c r="H872" s="132"/>
    </row>
    <row r="873" ht="15.75" customHeight="1">
      <c r="H873" s="132"/>
    </row>
    <row r="874" ht="15.75" customHeight="1">
      <c r="H874" s="132"/>
    </row>
    <row r="875" ht="15.75" customHeight="1">
      <c r="H875" s="132"/>
    </row>
    <row r="876" ht="15.75" customHeight="1">
      <c r="H876" s="132"/>
    </row>
    <row r="877" ht="15.75" customHeight="1">
      <c r="H877" s="132"/>
    </row>
    <row r="878" ht="15.75" customHeight="1">
      <c r="H878" s="132"/>
    </row>
    <row r="879" ht="15.75" customHeight="1">
      <c r="H879" s="132"/>
    </row>
    <row r="880" ht="15.75" customHeight="1">
      <c r="H880" s="132"/>
    </row>
    <row r="881" ht="15.75" customHeight="1">
      <c r="H881" s="132"/>
    </row>
    <row r="882" ht="15.75" customHeight="1">
      <c r="H882" s="132"/>
    </row>
    <row r="883" ht="15.75" customHeight="1">
      <c r="H883" s="132"/>
    </row>
    <row r="884" ht="15.75" customHeight="1">
      <c r="H884" s="132"/>
    </row>
    <row r="885" ht="15.75" customHeight="1">
      <c r="H885" s="132"/>
    </row>
    <row r="886" ht="15.75" customHeight="1">
      <c r="H886" s="132"/>
    </row>
    <row r="887" ht="15.75" customHeight="1">
      <c r="H887" s="132"/>
    </row>
    <row r="888" ht="15.75" customHeight="1">
      <c r="H888" s="132"/>
    </row>
    <row r="889" ht="15.75" customHeight="1">
      <c r="H889" s="132"/>
    </row>
    <row r="890" ht="15.75" customHeight="1">
      <c r="H890" s="132"/>
    </row>
    <row r="891" ht="15.75" customHeight="1">
      <c r="H891" s="132"/>
    </row>
    <row r="892" ht="15.75" customHeight="1">
      <c r="H892" s="132"/>
    </row>
    <row r="893" ht="15.75" customHeight="1">
      <c r="H893" s="132"/>
    </row>
    <row r="894" ht="15.75" customHeight="1">
      <c r="H894" s="132"/>
    </row>
    <row r="895" ht="15.75" customHeight="1">
      <c r="H895" s="132"/>
    </row>
    <row r="896" ht="15.75" customHeight="1">
      <c r="H896" s="132"/>
    </row>
    <row r="897" ht="15.75" customHeight="1">
      <c r="H897" s="132"/>
    </row>
    <row r="898" ht="15.75" customHeight="1">
      <c r="H898" s="132"/>
    </row>
    <row r="899" ht="15.75" customHeight="1">
      <c r="H899" s="132"/>
    </row>
    <row r="900" ht="15.75" customHeight="1">
      <c r="H900" s="132"/>
    </row>
    <row r="901" ht="15.75" customHeight="1">
      <c r="H901" s="132"/>
    </row>
    <row r="902" ht="15.75" customHeight="1">
      <c r="H902" s="132"/>
    </row>
    <row r="903" ht="15.75" customHeight="1">
      <c r="H903" s="132"/>
    </row>
    <row r="904" ht="15.75" customHeight="1">
      <c r="H904" s="132"/>
    </row>
    <row r="905" ht="15.75" customHeight="1">
      <c r="H905" s="132"/>
    </row>
    <row r="906" ht="15.75" customHeight="1">
      <c r="H906" s="132"/>
    </row>
    <row r="907" ht="15.75" customHeight="1">
      <c r="H907" s="132"/>
    </row>
    <row r="908" ht="15.75" customHeight="1">
      <c r="H908" s="132"/>
    </row>
    <row r="909" ht="15.75" customHeight="1">
      <c r="H909" s="132"/>
    </row>
    <row r="910" ht="15.75" customHeight="1">
      <c r="H910" s="132"/>
    </row>
    <row r="911" ht="15.75" customHeight="1">
      <c r="H911" s="132"/>
    </row>
    <row r="912" ht="15.75" customHeight="1">
      <c r="H912" s="132"/>
    </row>
    <row r="913" ht="15.75" customHeight="1">
      <c r="H913" s="132"/>
    </row>
    <row r="914" ht="15.75" customHeight="1">
      <c r="H914" s="132"/>
    </row>
    <row r="915" ht="15.75" customHeight="1">
      <c r="H915" s="132"/>
    </row>
    <row r="916" ht="15.75" customHeight="1">
      <c r="H916" s="132"/>
    </row>
    <row r="917" ht="15.75" customHeight="1">
      <c r="H917" s="132"/>
    </row>
    <row r="918" ht="15.75" customHeight="1">
      <c r="H918" s="132"/>
    </row>
    <row r="919" ht="15.75" customHeight="1">
      <c r="H919" s="132"/>
    </row>
    <row r="920" ht="15.75" customHeight="1">
      <c r="H920" s="132"/>
    </row>
    <row r="921" ht="15.75" customHeight="1">
      <c r="H921" s="132"/>
    </row>
    <row r="922" ht="15.75" customHeight="1">
      <c r="H922" s="132"/>
    </row>
    <row r="923" ht="15.75" customHeight="1">
      <c r="H923" s="132"/>
    </row>
    <row r="924" ht="15.75" customHeight="1">
      <c r="H924" s="132"/>
    </row>
    <row r="925" ht="15.75" customHeight="1">
      <c r="H925" s="132"/>
    </row>
    <row r="926" ht="15.75" customHeight="1">
      <c r="H926" s="132"/>
    </row>
    <row r="927" ht="15.75" customHeight="1">
      <c r="H927" s="132"/>
    </row>
    <row r="928" ht="15.75" customHeight="1">
      <c r="H928" s="132"/>
    </row>
    <row r="929" ht="15.75" customHeight="1">
      <c r="H929" s="132"/>
    </row>
    <row r="930" ht="15.75" customHeight="1">
      <c r="H930" s="132"/>
    </row>
    <row r="931" ht="15.75" customHeight="1">
      <c r="H931" s="132"/>
    </row>
    <row r="932" ht="15.75" customHeight="1">
      <c r="H932" s="132"/>
    </row>
    <row r="933" ht="15.75" customHeight="1">
      <c r="H933" s="132"/>
    </row>
    <row r="934" ht="15.75" customHeight="1">
      <c r="H934" s="132"/>
    </row>
    <row r="935" ht="15.75" customHeight="1">
      <c r="H935" s="132"/>
    </row>
    <row r="936" ht="15.75" customHeight="1">
      <c r="H936" s="132"/>
    </row>
    <row r="937" ht="15.75" customHeight="1">
      <c r="H937" s="132"/>
    </row>
    <row r="938" ht="15.75" customHeight="1">
      <c r="H938" s="132"/>
    </row>
    <row r="939" ht="15.75" customHeight="1">
      <c r="H939" s="132"/>
    </row>
    <row r="940" ht="15.75" customHeight="1">
      <c r="H940" s="132"/>
    </row>
    <row r="941" ht="15.75" customHeight="1">
      <c r="H941" s="132"/>
    </row>
    <row r="942" ht="15.75" customHeight="1">
      <c r="H942" s="132"/>
    </row>
    <row r="943" ht="15.75" customHeight="1">
      <c r="H943" s="132"/>
    </row>
    <row r="944" ht="15.75" customHeight="1">
      <c r="H944" s="132"/>
    </row>
    <row r="945" ht="15.75" customHeight="1">
      <c r="H945" s="132"/>
    </row>
    <row r="946" ht="15.75" customHeight="1">
      <c r="H946" s="132"/>
    </row>
    <row r="947" ht="15.75" customHeight="1">
      <c r="H947" s="132"/>
    </row>
    <row r="948" ht="15.75" customHeight="1">
      <c r="H948" s="132"/>
    </row>
    <row r="949" ht="15.75" customHeight="1">
      <c r="H949" s="132"/>
    </row>
    <row r="950" ht="15.75" customHeight="1">
      <c r="H950" s="132"/>
    </row>
    <row r="951" ht="15.75" customHeight="1">
      <c r="H951" s="132"/>
    </row>
    <row r="952" ht="15.75" customHeight="1">
      <c r="H952" s="132"/>
    </row>
    <row r="953" ht="15.75" customHeight="1">
      <c r="H953" s="132"/>
    </row>
    <row r="954" ht="15.75" customHeight="1">
      <c r="H954" s="132"/>
    </row>
    <row r="955" ht="15.75" customHeight="1">
      <c r="H955" s="132"/>
    </row>
    <row r="956" ht="15.75" customHeight="1">
      <c r="H956" s="132"/>
    </row>
    <row r="957" ht="15.75" customHeight="1">
      <c r="H957" s="132"/>
    </row>
    <row r="958" ht="15.75" customHeight="1">
      <c r="H958" s="132"/>
    </row>
    <row r="959" ht="15.75" customHeight="1">
      <c r="H959" s="132"/>
    </row>
    <row r="960" ht="15.75" customHeight="1">
      <c r="H960" s="132"/>
    </row>
    <row r="961" ht="15.75" customHeight="1">
      <c r="H961" s="132"/>
    </row>
    <row r="962" ht="15.75" customHeight="1">
      <c r="H962" s="132"/>
    </row>
    <row r="963" ht="15.75" customHeight="1">
      <c r="H963" s="132"/>
    </row>
    <row r="964" ht="15.75" customHeight="1">
      <c r="H964" s="132"/>
    </row>
    <row r="965" ht="15.75" customHeight="1">
      <c r="H965" s="132"/>
    </row>
    <row r="966" ht="15.75" customHeight="1">
      <c r="H966" s="132"/>
    </row>
    <row r="967" ht="15.75" customHeight="1">
      <c r="H967" s="132"/>
    </row>
    <row r="968" ht="15.75" customHeight="1">
      <c r="H968" s="132"/>
    </row>
    <row r="969" ht="15.75" customHeight="1">
      <c r="H969" s="132"/>
    </row>
    <row r="970" ht="15.75" customHeight="1">
      <c r="H970" s="132"/>
    </row>
    <row r="971" ht="15.75" customHeight="1">
      <c r="H971" s="132"/>
    </row>
    <row r="972" ht="15.75" customHeight="1">
      <c r="H972" s="132"/>
    </row>
    <row r="973" ht="15.75" customHeight="1">
      <c r="H973" s="132"/>
    </row>
    <row r="974" ht="15.75" customHeight="1">
      <c r="H974" s="132"/>
    </row>
    <row r="975" ht="15.75" customHeight="1">
      <c r="H975" s="132"/>
    </row>
    <row r="976" ht="15.75" customHeight="1">
      <c r="H976" s="132"/>
    </row>
    <row r="977" ht="15.75" customHeight="1">
      <c r="H977" s="132"/>
    </row>
    <row r="978" ht="15.75" customHeight="1">
      <c r="H978" s="132"/>
    </row>
    <row r="979" ht="15.75" customHeight="1">
      <c r="H979" s="132"/>
    </row>
    <row r="980" ht="15.75" customHeight="1">
      <c r="H980" s="132"/>
    </row>
    <row r="981" ht="15.75" customHeight="1">
      <c r="H981" s="132"/>
    </row>
    <row r="982" ht="15.75" customHeight="1">
      <c r="H982" s="132"/>
    </row>
    <row r="983" ht="15.75" customHeight="1">
      <c r="H983" s="132"/>
    </row>
    <row r="984" ht="15.75" customHeight="1">
      <c r="H984" s="132"/>
    </row>
    <row r="985" ht="15.75" customHeight="1">
      <c r="H985" s="132"/>
    </row>
    <row r="986" ht="15.75" customHeight="1">
      <c r="H986" s="132"/>
    </row>
    <row r="987" ht="15.75" customHeight="1">
      <c r="H987" s="132"/>
    </row>
    <row r="988" ht="15.75" customHeight="1">
      <c r="H988" s="132"/>
    </row>
    <row r="989" ht="15.75" customHeight="1">
      <c r="H989" s="132"/>
    </row>
    <row r="990" ht="15.75" customHeight="1">
      <c r="H990" s="132"/>
    </row>
    <row r="991" ht="15.75" customHeight="1">
      <c r="H991" s="132"/>
    </row>
    <row r="992" ht="15.75" customHeight="1">
      <c r="H992" s="132"/>
    </row>
    <row r="993" ht="15.75" customHeight="1">
      <c r="H993" s="132"/>
    </row>
    <row r="994" ht="15.75" customHeight="1">
      <c r="H994" s="132"/>
    </row>
    <row r="995" ht="15.75" customHeight="1">
      <c r="H995" s="132"/>
    </row>
    <row r="996" ht="15.75" customHeight="1">
      <c r="H996" s="132"/>
    </row>
    <row r="997" ht="15.75" customHeight="1">
      <c r="H997" s="132"/>
    </row>
    <row r="998" ht="15.75" customHeight="1">
      <c r="H998" s="132"/>
    </row>
    <row r="999" ht="15.75" customHeight="1">
      <c r="H999" s="132"/>
    </row>
    <row r="1000" ht="15.75" customHeight="1">
      <c r="H1000" s="132"/>
    </row>
    <row r="1001" ht="15.75" customHeight="1">
      <c r="H1001" s="132"/>
    </row>
    <row r="1002" ht="15.75" customHeight="1">
      <c r="H1002" s="132"/>
    </row>
    <row r="1003" ht="15.75" customHeight="1">
      <c r="H1003" s="132"/>
    </row>
    <row r="1004" ht="15.75" customHeight="1">
      <c r="H1004" s="132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between">
      <formula>0</formula>
      <formula>1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6">
        <v>0.959</v>
      </c>
      <c r="D7" s="36">
        <v>0.647</v>
      </c>
      <c r="E7" s="36">
        <v>1.211</v>
      </c>
      <c r="F7" s="36">
        <v>0.272</v>
      </c>
      <c r="G7" s="36">
        <v>1.161</v>
      </c>
      <c r="H7" s="36">
        <v>1.334</v>
      </c>
      <c r="I7" s="36">
        <v>1.159</v>
      </c>
      <c r="J7" s="36">
        <v>0.55</v>
      </c>
      <c r="K7" s="36">
        <v>0.758</v>
      </c>
      <c r="L7" s="36">
        <v>1.129</v>
      </c>
      <c r="M7" s="37">
        <v>1.084</v>
      </c>
      <c r="N7" s="36">
        <v>0.751</v>
      </c>
      <c r="O7" s="36">
        <v>0.783</v>
      </c>
      <c r="P7" s="36">
        <v>0.399</v>
      </c>
      <c r="Q7" s="36">
        <v>1.225</v>
      </c>
      <c r="R7" s="36">
        <v>1.183</v>
      </c>
      <c r="S7" s="36">
        <v>0.808</v>
      </c>
      <c r="T7" s="40">
        <v>0.203</v>
      </c>
      <c r="U7" s="40">
        <v>0.137</v>
      </c>
      <c r="V7" s="40">
        <v>0.753</v>
      </c>
      <c r="W7" s="40">
        <v>1.362</v>
      </c>
      <c r="X7" s="44">
        <v>1.293</v>
      </c>
      <c r="Y7" s="40">
        <v>0.496</v>
      </c>
      <c r="Z7" s="40">
        <v>0.541</v>
      </c>
    </row>
    <row r="8" ht="15.75" customHeight="1">
      <c r="A8" s="29"/>
      <c r="B8" s="17"/>
      <c r="C8" s="44">
        <v>0.89</v>
      </c>
      <c r="D8" s="44">
        <v>0.742</v>
      </c>
      <c r="E8" s="44">
        <v>0.886</v>
      </c>
      <c r="F8" s="44">
        <v>0.348</v>
      </c>
      <c r="G8" s="44">
        <v>1.224</v>
      </c>
      <c r="H8" s="44">
        <v>1.909</v>
      </c>
      <c r="I8" s="44">
        <v>1.233</v>
      </c>
      <c r="J8" s="44">
        <v>0.72</v>
      </c>
      <c r="K8" s="44">
        <v>0.187</v>
      </c>
      <c r="L8" s="44">
        <v>1.953</v>
      </c>
      <c r="M8" s="46">
        <v>1.214</v>
      </c>
      <c r="N8" s="44">
        <v>1.489</v>
      </c>
      <c r="O8" s="44">
        <v>0.56</v>
      </c>
      <c r="P8" s="44">
        <v>0.107</v>
      </c>
      <c r="Q8" s="44">
        <v>2.274</v>
      </c>
      <c r="R8" s="44">
        <v>1.585</v>
      </c>
      <c r="S8" s="44">
        <v>1.008</v>
      </c>
      <c r="T8" s="48">
        <v>0.974</v>
      </c>
      <c r="U8" s="33"/>
      <c r="V8" s="48">
        <v>1.482</v>
      </c>
      <c r="W8" s="48">
        <v>1.964</v>
      </c>
      <c r="X8" s="44">
        <v>1.051</v>
      </c>
      <c r="Y8" s="48">
        <v>0.492</v>
      </c>
      <c r="Z8" s="48">
        <v>0.256</v>
      </c>
    </row>
    <row r="9" ht="15.75" customHeight="1">
      <c r="A9" s="29"/>
      <c r="B9" s="17"/>
      <c r="C9" s="44">
        <v>0.598</v>
      </c>
      <c r="D9" s="44">
        <v>0.581</v>
      </c>
      <c r="E9" s="44">
        <v>1.613</v>
      </c>
      <c r="F9" s="44">
        <v>0.327</v>
      </c>
      <c r="G9" s="44">
        <v>0.871</v>
      </c>
      <c r="H9" s="44">
        <v>1.242</v>
      </c>
      <c r="I9" s="44">
        <v>1.107</v>
      </c>
      <c r="J9" s="44">
        <v>0.798</v>
      </c>
      <c r="K9" s="44">
        <v>0.414</v>
      </c>
      <c r="L9" s="44">
        <v>1.416</v>
      </c>
      <c r="M9" s="46">
        <v>1.463</v>
      </c>
      <c r="N9" s="44">
        <v>1.075</v>
      </c>
      <c r="O9" s="44">
        <v>0.916</v>
      </c>
      <c r="P9" s="44">
        <v>0.421</v>
      </c>
      <c r="Q9" s="44">
        <v>0.858</v>
      </c>
      <c r="R9" s="44">
        <v>1.264</v>
      </c>
      <c r="S9" s="44">
        <v>0.789</v>
      </c>
      <c r="T9" s="48">
        <v>0.528</v>
      </c>
      <c r="U9" s="33"/>
      <c r="V9" s="48">
        <v>1.779</v>
      </c>
      <c r="W9" s="48">
        <v>1.573</v>
      </c>
      <c r="X9" s="48">
        <v>0.057</v>
      </c>
      <c r="Y9" s="48">
        <v>0.482</v>
      </c>
      <c r="Z9" s="33"/>
    </row>
    <row r="10" ht="15.75" customHeight="1">
      <c r="A10" s="29"/>
      <c r="B10" s="17"/>
      <c r="C10" s="133">
        <v>0.649</v>
      </c>
      <c r="D10" s="133">
        <v>0.465</v>
      </c>
      <c r="E10" s="133">
        <v>1.035</v>
      </c>
      <c r="F10" s="44">
        <v>0.407</v>
      </c>
      <c r="G10" s="44">
        <v>0.997</v>
      </c>
      <c r="H10" s="44">
        <v>1.168</v>
      </c>
      <c r="I10" s="44">
        <v>1.017</v>
      </c>
      <c r="J10" s="44">
        <v>0.875</v>
      </c>
      <c r="K10" s="44">
        <v>0.364</v>
      </c>
      <c r="L10" s="44">
        <v>0.482</v>
      </c>
      <c r="M10" s="46">
        <v>0.975</v>
      </c>
      <c r="N10" s="44">
        <v>0.786</v>
      </c>
      <c r="O10" s="44">
        <v>0.086</v>
      </c>
      <c r="P10" s="44">
        <v>0.482</v>
      </c>
      <c r="Q10" s="44">
        <v>1.429</v>
      </c>
      <c r="R10" s="44">
        <v>1.209</v>
      </c>
      <c r="S10" s="44">
        <v>1.114</v>
      </c>
      <c r="T10" s="48">
        <v>0.386</v>
      </c>
      <c r="U10" s="33"/>
      <c r="V10" s="48">
        <v>1.672</v>
      </c>
      <c r="W10" s="48">
        <v>1.765</v>
      </c>
      <c r="X10" s="48">
        <v>1.511</v>
      </c>
      <c r="Y10" s="48">
        <v>0.153</v>
      </c>
      <c r="Z10" s="33"/>
    </row>
    <row r="11" ht="15.75" customHeight="1">
      <c r="A11" s="29"/>
      <c r="B11" s="17"/>
      <c r="C11" s="133">
        <v>0.986</v>
      </c>
      <c r="D11" s="133">
        <v>0.835</v>
      </c>
      <c r="E11" s="133">
        <v>0.49</v>
      </c>
      <c r="F11" s="44">
        <v>0.265</v>
      </c>
      <c r="G11" s="44">
        <v>1.449</v>
      </c>
      <c r="H11" s="44">
        <v>1.621</v>
      </c>
      <c r="I11" s="44">
        <v>0.977</v>
      </c>
      <c r="J11" s="44">
        <v>0.894</v>
      </c>
      <c r="K11" s="44">
        <v>0.102</v>
      </c>
      <c r="L11" s="44">
        <v>1.695</v>
      </c>
      <c r="M11" s="46">
        <v>1.385</v>
      </c>
      <c r="N11" s="44">
        <v>0.878</v>
      </c>
      <c r="O11" s="49"/>
      <c r="P11" s="49"/>
      <c r="Q11" s="44">
        <v>1.6</v>
      </c>
      <c r="R11" s="44">
        <v>1.538</v>
      </c>
      <c r="S11" s="44">
        <v>1.063</v>
      </c>
      <c r="T11" s="48">
        <v>0.168</v>
      </c>
      <c r="U11" s="33"/>
      <c r="V11" s="48">
        <v>0.31</v>
      </c>
      <c r="W11" s="48">
        <v>0.987</v>
      </c>
      <c r="X11" s="44">
        <v>0.421</v>
      </c>
      <c r="Y11" s="33"/>
      <c r="Z11" s="33"/>
    </row>
    <row r="12" ht="15.75" customHeight="1">
      <c r="A12" s="29"/>
      <c r="B12" s="17"/>
      <c r="C12" s="133">
        <v>0.994</v>
      </c>
      <c r="D12" s="133">
        <v>0.342</v>
      </c>
      <c r="E12" s="133">
        <v>1.045</v>
      </c>
      <c r="F12" s="44">
        <v>0.385</v>
      </c>
      <c r="G12" s="44">
        <v>1.389</v>
      </c>
      <c r="H12" s="44">
        <v>1.596</v>
      </c>
      <c r="I12" s="44">
        <v>0.721</v>
      </c>
      <c r="J12" s="44">
        <v>0.724</v>
      </c>
      <c r="K12" s="49"/>
      <c r="L12" s="44">
        <v>1.446</v>
      </c>
      <c r="M12" s="46">
        <v>1.077</v>
      </c>
      <c r="N12" s="44">
        <v>0.254</v>
      </c>
      <c r="O12" s="49"/>
      <c r="P12" s="49"/>
      <c r="Q12" s="44">
        <v>1.064</v>
      </c>
      <c r="R12" s="44">
        <v>1.634</v>
      </c>
      <c r="S12" s="44">
        <v>1.202</v>
      </c>
      <c r="T12" s="48">
        <v>0.622</v>
      </c>
      <c r="U12" s="33"/>
      <c r="V12" s="48">
        <v>1.44</v>
      </c>
      <c r="W12" s="48">
        <v>2.255</v>
      </c>
      <c r="X12" s="48">
        <v>1.118</v>
      </c>
      <c r="Y12" s="33"/>
      <c r="Z12" s="33"/>
    </row>
    <row r="13" ht="15.75" customHeight="1">
      <c r="A13" s="29"/>
      <c r="B13" s="17"/>
      <c r="C13" s="133">
        <v>0.866</v>
      </c>
      <c r="D13" s="133">
        <v>1.224</v>
      </c>
      <c r="E13" s="133">
        <v>1.066</v>
      </c>
      <c r="F13" s="44">
        <v>0.287</v>
      </c>
      <c r="G13" s="44">
        <v>1.075</v>
      </c>
      <c r="H13" s="44">
        <v>1.286</v>
      </c>
      <c r="I13" s="44">
        <v>1.208</v>
      </c>
      <c r="J13" s="44">
        <v>0.679</v>
      </c>
      <c r="K13" s="49"/>
      <c r="L13" s="44">
        <v>1.411</v>
      </c>
      <c r="M13" s="46">
        <v>1.502</v>
      </c>
      <c r="N13" s="44">
        <v>0.88</v>
      </c>
      <c r="O13" s="49"/>
      <c r="P13" s="49"/>
      <c r="Q13" s="44">
        <v>1.449</v>
      </c>
      <c r="R13" s="44">
        <v>0.315</v>
      </c>
      <c r="S13" s="44">
        <v>0.682</v>
      </c>
      <c r="T13" s="33"/>
      <c r="U13" s="33"/>
      <c r="V13" s="48">
        <v>1.842</v>
      </c>
      <c r="W13" s="48">
        <v>1.478</v>
      </c>
      <c r="X13" s="48">
        <v>0.844</v>
      </c>
      <c r="Y13" s="33"/>
      <c r="Z13" s="33"/>
    </row>
    <row r="14" ht="15.75" customHeight="1">
      <c r="A14" s="29"/>
      <c r="B14" s="17"/>
      <c r="C14" s="133">
        <v>0.657</v>
      </c>
      <c r="D14" s="133">
        <v>0.988</v>
      </c>
      <c r="E14" s="133">
        <v>1.362</v>
      </c>
      <c r="F14" s="44">
        <v>0.264</v>
      </c>
      <c r="G14" s="44">
        <v>1.166</v>
      </c>
      <c r="H14" s="44">
        <v>1.11</v>
      </c>
      <c r="I14" s="44">
        <v>1.422</v>
      </c>
      <c r="J14" s="44">
        <v>0.325</v>
      </c>
      <c r="K14" s="49"/>
      <c r="L14" s="44">
        <v>0.874</v>
      </c>
      <c r="M14" s="46">
        <v>1.238</v>
      </c>
      <c r="N14" s="44">
        <v>0.949</v>
      </c>
      <c r="O14" s="49"/>
      <c r="P14" s="49"/>
      <c r="Q14" s="44">
        <v>0.804</v>
      </c>
      <c r="R14" s="44">
        <v>0.477</v>
      </c>
      <c r="S14" s="44">
        <v>1.114</v>
      </c>
      <c r="T14" s="33"/>
      <c r="U14" s="33"/>
      <c r="V14" s="48">
        <v>1.778</v>
      </c>
      <c r="W14" s="48">
        <v>1.478</v>
      </c>
      <c r="X14" s="48">
        <v>0.809</v>
      </c>
      <c r="Y14" s="33"/>
      <c r="Z14" s="33"/>
    </row>
    <row r="15" ht="15.75" customHeight="1">
      <c r="A15" s="29"/>
      <c r="B15" s="17"/>
      <c r="C15" s="133">
        <v>0.722</v>
      </c>
      <c r="D15" s="133">
        <v>1.534</v>
      </c>
      <c r="E15" s="133">
        <v>0.863</v>
      </c>
      <c r="F15" s="44">
        <v>0.325</v>
      </c>
      <c r="G15" s="44">
        <v>2.076</v>
      </c>
      <c r="H15" s="44">
        <v>1.472</v>
      </c>
      <c r="I15" s="44">
        <v>1.051</v>
      </c>
      <c r="J15" s="44">
        <v>0.563</v>
      </c>
      <c r="K15" s="49"/>
      <c r="L15" s="44">
        <v>1.351</v>
      </c>
      <c r="M15" s="46">
        <v>1.058</v>
      </c>
      <c r="N15" s="44">
        <v>0.494</v>
      </c>
      <c r="O15" s="49"/>
      <c r="P15" s="49"/>
      <c r="Q15" s="44">
        <v>1.541</v>
      </c>
      <c r="R15" s="44">
        <v>1.809</v>
      </c>
      <c r="S15" s="44">
        <v>1.251</v>
      </c>
      <c r="T15" s="33"/>
      <c r="U15" s="33"/>
      <c r="V15" s="48">
        <v>2.087</v>
      </c>
      <c r="W15" s="48">
        <v>0.833</v>
      </c>
      <c r="X15" s="48">
        <v>0.835</v>
      </c>
      <c r="Y15" s="33"/>
      <c r="Z15" s="33"/>
    </row>
    <row r="16" ht="15.75" customHeight="1">
      <c r="A16" s="29"/>
      <c r="B16" s="28"/>
      <c r="C16" s="134">
        <v>0.505</v>
      </c>
      <c r="D16" s="134">
        <v>0.656</v>
      </c>
      <c r="E16" s="134">
        <v>1.074</v>
      </c>
      <c r="F16" s="54">
        <v>0.284</v>
      </c>
      <c r="G16" s="54">
        <v>0.835</v>
      </c>
      <c r="H16" s="54">
        <v>1.441</v>
      </c>
      <c r="I16" s="54">
        <v>0.655</v>
      </c>
      <c r="J16" s="54">
        <v>0.797</v>
      </c>
      <c r="K16" s="64"/>
      <c r="L16" s="54">
        <v>1.504</v>
      </c>
      <c r="M16" s="56">
        <v>0.792</v>
      </c>
      <c r="N16" s="44">
        <v>0.902</v>
      </c>
      <c r="O16" s="49"/>
      <c r="P16" s="49"/>
      <c r="Q16" s="44">
        <v>0.774</v>
      </c>
      <c r="R16" s="44">
        <v>0.88</v>
      </c>
      <c r="S16" s="44">
        <v>0.507</v>
      </c>
      <c r="T16" s="33"/>
      <c r="U16" s="33"/>
      <c r="V16" s="48">
        <v>1.323</v>
      </c>
      <c r="W16" s="48">
        <v>0.247</v>
      </c>
      <c r="X16" s="48">
        <v>0.327</v>
      </c>
      <c r="Y16" s="33"/>
      <c r="Z16" s="33"/>
    </row>
    <row r="17" ht="15.75" customHeight="1">
      <c r="A17" s="29"/>
      <c r="B17" s="57">
        <v>2.0</v>
      </c>
      <c r="C17" s="135">
        <v>1.001</v>
      </c>
      <c r="D17" s="135">
        <v>1.286</v>
      </c>
      <c r="E17" s="135">
        <v>1.909</v>
      </c>
      <c r="F17" s="36">
        <v>0.207</v>
      </c>
      <c r="G17" s="36">
        <v>1.196</v>
      </c>
      <c r="H17" s="36">
        <v>1.275</v>
      </c>
      <c r="I17" s="36">
        <v>0.877</v>
      </c>
      <c r="J17" s="36">
        <v>0.306</v>
      </c>
      <c r="K17" s="58"/>
      <c r="L17" s="36">
        <v>1.132</v>
      </c>
      <c r="M17" s="37">
        <v>1.499</v>
      </c>
      <c r="N17" s="36">
        <v>0.677</v>
      </c>
      <c r="O17" s="58"/>
      <c r="P17" s="58"/>
      <c r="Q17" s="36">
        <v>1.478</v>
      </c>
      <c r="R17" s="36">
        <v>1.062</v>
      </c>
      <c r="S17" s="36">
        <v>1.488</v>
      </c>
      <c r="T17" s="31"/>
      <c r="U17" s="31"/>
      <c r="V17" s="40">
        <v>1.153</v>
      </c>
      <c r="W17" s="40">
        <v>0.816</v>
      </c>
      <c r="X17" s="40">
        <v>0.48</v>
      </c>
      <c r="Y17" s="31"/>
      <c r="Z17" s="31"/>
    </row>
    <row r="18" ht="15.75" customHeight="1">
      <c r="A18" s="29"/>
      <c r="B18" s="17"/>
      <c r="C18" s="133">
        <v>0.971</v>
      </c>
      <c r="D18" s="133">
        <v>0.595</v>
      </c>
      <c r="E18" s="133">
        <v>1.422</v>
      </c>
      <c r="F18" s="44">
        <v>0.283</v>
      </c>
      <c r="G18" s="44">
        <v>1.712</v>
      </c>
      <c r="H18" s="44">
        <v>0.783</v>
      </c>
      <c r="I18" s="44">
        <v>0.441</v>
      </c>
      <c r="J18" s="44">
        <v>0.44</v>
      </c>
      <c r="K18" s="49"/>
      <c r="L18" s="44">
        <v>1.114</v>
      </c>
      <c r="M18" s="46">
        <v>1.731</v>
      </c>
      <c r="N18" s="44">
        <v>0.552</v>
      </c>
      <c r="O18" s="49"/>
      <c r="P18" s="49"/>
      <c r="Q18" s="44">
        <v>1.418</v>
      </c>
      <c r="R18" s="44">
        <v>1.409</v>
      </c>
      <c r="S18" s="44">
        <v>0.86</v>
      </c>
      <c r="T18" s="33"/>
      <c r="U18" s="33"/>
      <c r="V18" s="48">
        <v>0.995</v>
      </c>
      <c r="W18" s="48">
        <v>1.495</v>
      </c>
      <c r="X18" s="48">
        <v>0.598</v>
      </c>
      <c r="Y18" s="33"/>
      <c r="Z18" s="33"/>
    </row>
    <row r="19" ht="15.75" customHeight="1">
      <c r="A19" s="59"/>
      <c r="B19" s="17"/>
      <c r="C19" s="133">
        <v>0.497</v>
      </c>
      <c r="D19" s="133">
        <v>1.098</v>
      </c>
      <c r="E19" s="133">
        <v>1.485</v>
      </c>
      <c r="F19" s="49"/>
      <c r="G19" s="44">
        <v>1.252</v>
      </c>
      <c r="H19" s="44">
        <v>1.335</v>
      </c>
      <c r="I19" s="44">
        <v>0.746</v>
      </c>
      <c r="J19" s="44">
        <v>0.124</v>
      </c>
      <c r="K19" s="49"/>
      <c r="L19" s="49"/>
      <c r="M19" s="46">
        <v>2.271</v>
      </c>
      <c r="N19" s="44">
        <v>0.68</v>
      </c>
      <c r="O19" s="49"/>
      <c r="P19" s="49"/>
      <c r="Q19" s="44">
        <v>0.163</v>
      </c>
      <c r="R19" s="44">
        <v>1.322</v>
      </c>
      <c r="S19" s="44">
        <v>0.658</v>
      </c>
      <c r="T19" s="33"/>
      <c r="U19" s="33"/>
      <c r="V19" s="48">
        <v>1.025</v>
      </c>
      <c r="W19" s="48">
        <v>1.122</v>
      </c>
      <c r="X19" s="48">
        <v>1.102</v>
      </c>
      <c r="Y19" s="33"/>
      <c r="Z19" s="33"/>
    </row>
    <row r="20" ht="15.75" customHeight="1">
      <c r="A20" s="59"/>
      <c r="B20" s="17"/>
      <c r="C20" s="133">
        <v>0.699</v>
      </c>
      <c r="D20" s="133">
        <v>1.351</v>
      </c>
      <c r="E20" s="133">
        <v>1.565</v>
      </c>
      <c r="F20" s="49"/>
      <c r="G20" s="44">
        <v>1.613</v>
      </c>
      <c r="H20" s="44">
        <v>1.847</v>
      </c>
      <c r="I20" s="44">
        <v>1.129</v>
      </c>
      <c r="J20" s="49"/>
      <c r="K20" s="49"/>
      <c r="L20" s="49"/>
      <c r="M20" s="46">
        <v>1.101</v>
      </c>
      <c r="N20" s="44">
        <v>0.512</v>
      </c>
      <c r="O20" s="49"/>
      <c r="P20" s="49"/>
      <c r="Q20" s="49"/>
      <c r="R20" s="44">
        <v>1.253</v>
      </c>
      <c r="S20" s="49"/>
      <c r="T20" s="33"/>
      <c r="U20" s="33"/>
      <c r="V20" s="48">
        <v>1.275</v>
      </c>
      <c r="W20" s="48">
        <v>1.624</v>
      </c>
      <c r="X20" s="33"/>
      <c r="Y20" s="33"/>
      <c r="Z20" s="33"/>
    </row>
    <row r="21" ht="15.75" customHeight="1">
      <c r="A21" s="59"/>
      <c r="B21" s="17"/>
      <c r="C21" s="133">
        <v>0.496</v>
      </c>
      <c r="D21" s="133">
        <v>1.156</v>
      </c>
      <c r="E21" s="133">
        <v>1.17</v>
      </c>
      <c r="F21" s="49"/>
      <c r="G21" s="49"/>
      <c r="H21" s="44">
        <v>1.411</v>
      </c>
      <c r="I21" s="44">
        <v>1.26</v>
      </c>
      <c r="J21" s="49"/>
      <c r="K21" s="49"/>
      <c r="L21" s="49"/>
      <c r="M21" s="46">
        <v>0.825</v>
      </c>
      <c r="N21" s="44">
        <v>0.918</v>
      </c>
      <c r="O21" s="49"/>
      <c r="P21" s="49"/>
      <c r="Q21" s="49"/>
      <c r="R21" s="44">
        <v>1.203</v>
      </c>
      <c r="S21" s="49"/>
      <c r="T21" s="33"/>
      <c r="U21" s="33"/>
      <c r="V21" s="48">
        <v>1.51</v>
      </c>
      <c r="W21" s="48">
        <v>1.109</v>
      </c>
      <c r="X21" s="33"/>
      <c r="Y21" s="33"/>
      <c r="Z21" s="33"/>
    </row>
    <row r="22" ht="15.75" customHeight="1">
      <c r="A22" s="59"/>
      <c r="B22" s="17"/>
      <c r="C22" s="133">
        <v>1.573</v>
      </c>
      <c r="D22" s="133">
        <v>0.729</v>
      </c>
      <c r="E22" s="133">
        <v>1.632</v>
      </c>
      <c r="F22" s="49"/>
      <c r="G22" s="49"/>
      <c r="H22" s="44">
        <v>1.319</v>
      </c>
      <c r="I22" s="44">
        <v>0.932</v>
      </c>
      <c r="J22" s="49"/>
      <c r="K22" s="49"/>
      <c r="L22" s="49"/>
      <c r="M22" s="46">
        <v>1.599</v>
      </c>
      <c r="N22" s="49"/>
      <c r="O22" s="49"/>
      <c r="P22" s="49"/>
      <c r="Q22" s="49"/>
      <c r="R22" s="49"/>
      <c r="S22" s="49"/>
      <c r="T22" s="33"/>
      <c r="U22" s="33"/>
      <c r="V22" s="48">
        <v>1.268</v>
      </c>
      <c r="W22" s="48">
        <v>1.81</v>
      </c>
      <c r="X22" s="33"/>
      <c r="Y22" s="33"/>
      <c r="Z22" s="33"/>
    </row>
    <row r="23" ht="15.75" customHeight="1">
      <c r="A23" s="59"/>
      <c r="B23" s="17"/>
      <c r="C23" s="133">
        <v>1.34</v>
      </c>
      <c r="D23" s="62"/>
      <c r="E23" s="133">
        <v>1.006</v>
      </c>
      <c r="F23" s="49"/>
      <c r="G23" s="49"/>
      <c r="H23" s="49"/>
      <c r="I23" s="49"/>
      <c r="J23" s="49"/>
      <c r="K23" s="49"/>
      <c r="L23" s="49"/>
      <c r="M23" s="61"/>
      <c r="N23" s="49"/>
      <c r="O23" s="49"/>
      <c r="P23" s="49"/>
      <c r="Q23" s="49"/>
      <c r="R23" s="49"/>
      <c r="S23" s="49"/>
      <c r="T23" s="33"/>
      <c r="U23" s="33"/>
      <c r="V23" s="48">
        <v>1.523</v>
      </c>
      <c r="W23" s="33"/>
      <c r="X23" s="33"/>
      <c r="Y23" s="33"/>
      <c r="Z23" s="33"/>
    </row>
    <row r="24" ht="15.75" customHeight="1">
      <c r="A24" s="59"/>
      <c r="B24" s="17"/>
      <c r="C24" s="133">
        <v>0.799</v>
      </c>
      <c r="D24" s="62"/>
      <c r="E24" s="133">
        <v>0.688</v>
      </c>
      <c r="F24" s="49"/>
      <c r="G24" s="49"/>
      <c r="H24" s="49"/>
      <c r="I24" s="49"/>
      <c r="J24" s="49"/>
      <c r="K24" s="49"/>
      <c r="L24" s="49"/>
      <c r="M24" s="61"/>
      <c r="N24" s="49"/>
      <c r="O24" s="49"/>
      <c r="P24" s="49"/>
      <c r="Q24" s="49"/>
      <c r="R24" s="49"/>
      <c r="S24" s="49"/>
      <c r="T24" s="33"/>
      <c r="U24" s="33"/>
      <c r="V24" s="48">
        <v>1.998</v>
      </c>
      <c r="W24" s="33"/>
      <c r="X24" s="33"/>
      <c r="Y24" s="33"/>
      <c r="Z24" s="33"/>
    </row>
    <row r="25" ht="15.75" customHeight="1">
      <c r="A25" s="59"/>
      <c r="B25" s="17"/>
      <c r="C25" s="62"/>
      <c r="D25" s="62"/>
      <c r="E25" s="62"/>
      <c r="F25" s="49"/>
      <c r="G25" s="49"/>
      <c r="H25" s="49"/>
      <c r="I25" s="49"/>
      <c r="J25" s="49"/>
      <c r="K25" s="49"/>
      <c r="L25" s="49"/>
      <c r="M25" s="61"/>
      <c r="N25" s="49"/>
      <c r="O25" s="49"/>
      <c r="P25" s="49"/>
      <c r="Q25" s="49"/>
      <c r="R25" s="49"/>
      <c r="S25" s="49"/>
      <c r="T25" s="33"/>
      <c r="U25" s="33"/>
      <c r="V25" s="33"/>
      <c r="W25" s="33"/>
      <c r="X25" s="33"/>
      <c r="Y25" s="33"/>
      <c r="Z25" s="33"/>
    </row>
    <row r="26" ht="15.75" customHeight="1">
      <c r="B26" s="28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136"/>
      <c r="N26" s="64"/>
      <c r="O26" s="64"/>
      <c r="P26" s="64"/>
      <c r="Q26" s="64"/>
      <c r="R26" s="64"/>
      <c r="S26" s="64"/>
      <c r="T26" s="50"/>
      <c r="U26" s="50"/>
      <c r="V26" s="50"/>
      <c r="W26" s="50"/>
      <c r="X26" s="50"/>
      <c r="Y26" s="50"/>
      <c r="Z26" s="50"/>
    </row>
    <row r="27" ht="19.5" customHeight="1">
      <c r="B27" s="67" t="s">
        <v>15</v>
      </c>
      <c r="C27" s="68">
        <f t="shared" ref="C27:Z27" si="1">AVERAGE(C7:C26)</f>
        <v>0.8445555556</v>
      </c>
      <c r="D27" s="68">
        <f t="shared" si="1"/>
        <v>0.8893125</v>
      </c>
      <c r="E27" s="68">
        <f t="shared" si="1"/>
        <v>1.195666667</v>
      </c>
      <c r="F27" s="68">
        <f t="shared" si="1"/>
        <v>0.3045</v>
      </c>
      <c r="G27" s="68">
        <f t="shared" si="1"/>
        <v>1.286857143</v>
      </c>
      <c r="H27" s="68">
        <f t="shared" si="1"/>
        <v>1.3843125</v>
      </c>
      <c r="I27" s="68">
        <f t="shared" si="1"/>
        <v>0.9959375</v>
      </c>
      <c r="J27" s="68">
        <f t="shared" si="1"/>
        <v>0.5996153846</v>
      </c>
      <c r="K27" s="68">
        <f t="shared" si="1"/>
        <v>0.365</v>
      </c>
      <c r="L27" s="68">
        <f t="shared" si="1"/>
        <v>1.29225</v>
      </c>
      <c r="M27" s="68">
        <f t="shared" si="1"/>
        <v>1.300875</v>
      </c>
      <c r="N27" s="68">
        <f t="shared" si="1"/>
        <v>0.7864666667</v>
      </c>
      <c r="O27" s="68">
        <f t="shared" si="1"/>
        <v>0.58625</v>
      </c>
      <c r="P27" s="68">
        <f t="shared" si="1"/>
        <v>0.35225</v>
      </c>
      <c r="Q27" s="68">
        <f t="shared" si="1"/>
        <v>1.236692308</v>
      </c>
      <c r="R27" s="68">
        <f t="shared" si="1"/>
        <v>1.209533333</v>
      </c>
      <c r="S27" s="68">
        <f t="shared" si="1"/>
        <v>0.9649230769</v>
      </c>
      <c r="T27" s="68">
        <f t="shared" si="1"/>
        <v>0.4801666667</v>
      </c>
      <c r="U27" s="68">
        <f t="shared" si="1"/>
        <v>0.137</v>
      </c>
      <c r="V27" s="68">
        <f t="shared" si="1"/>
        <v>1.400722222</v>
      </c>
      <c r="W27" s="68">
        <f t="shared" si="1"/>
        <v>1.369875</v>
      </c>
      <c r="X27" s="68">
        <f t="shared" si="1"/>
        <v>0.8035384615</v>
      </c>
      <c r="Y27" s="68">
        <f t="shared" si="1"/>
        <v>0.40575</v>
      </c>
      <c r="Z27" s="68">
        <f t="shared" si="1"/>
        <v>0.3985</v>
      </c>
    </row>
    <row r="28" ht="15.75" customHeight="1">
      <c r="B28" s="67" t="s">
        <v>16</v>
      </c>
      <c r="C28" s="68">
        <f t="shared" ref="C28:Z28" si="2">STDEV(C7:C26)</f>
        <v>0.2874427252</v>
      </c>
      <c r="D28" s="68">
        <f t="shared" si="2"/>
        <v>0.3509354582</v>
      </c>
      <c r="E28" s="68">
        <f t="shared" si="2"/>
        <v>0.3639377775</v>
      </c>
      <c r="F28" s="68">
        <f t="shared" si="2"/>
        <v>0.05621145144</v>
      </c>
      <c r="G28" s="68">
        <f t="shared" si="2"/>
        <v>0.3392826952</v>
      </c>
      <c r="H28" s="68">
        <f t="shared" si="2"/>
        <v>0.2752617466</v>
      </c>
      <c r="I28" s="68">
        <f t="shared" si="2"/>
        <v>0.2573426947</v>
      </c>
      <c r="J28" s="68">
        <f t="shared" si="2"/>
        <v>0.2405194166</v>
      </c>
      <c r="K28" s="68">
        <f t="shared" si="2"/>
        <v>0.2538227728</v>
      </c>
      <c r="L28" s="68">
        <f t="shared" si="2"/>
        <v>0.3832497702</v>
      </c>
      <c r="M28" s="68">
        <f t="shared" si="2"/>
        <v>0.3765894095</v>
      </c>
      <c r="N28" s="68">
        <f t="shared" si="2"/>
        <v>0.2896966065</v>
      </c>
      <c r="O28" s="68">
        <f t="shared" si="2"/>
        <v>0.3644103685</v>
      </c>
      <c r="P28" s="68">
        <f t="shared" si="2"/>
        <v>0.1672271409</v>
      </c>
      <c r="Q28" s="68">
        <f t="shared" si="2"/>
        <v>0.5164986906</v>
      </c>
      <c r="R28" s="68">
        <f t="shared" si="2"/>
        <v>0.406517416</v>
      </c>
      <c r="S28" s="68">
        <f t="shared" si="2"/>
        <v>0.276601537</v>
      </c>
      <c r="T28" s="68">
        <f t="shared" si="2"/>
        <v>0.2998042139</v>
      </c>
      <c r="U28" s="68" t="str">
        <f t="shared" si="2"/>
        <v>#DIV/0!</v>
      </c>
      <c r="V28" s="68">
        <f t="shared" si="2"/>
        <v>0.4493351697</v>
      </c>
      <c r="W28" s="68">
        <f t="shared" si="2"/>
        <v>0.5008762821</v>
      </c>
      <c r="X28" s="68">
        <f t="shared" si="2"/>
        <v>0.4152911861</v>
      </c>
      <c r="Y28" s="68">
        <f t="shared" si="2"/>
        <v>0.1686028371</v>
      </c>
      <c r="Z28" s="68">
        <f t="shared" si="2"/>
        <v>0.2015254326</v>
      </c>
    </row>
    <row r="29" ht="15.75" customHeight="1">
      <c r="B29" s="67" t="s">
        <v>17</v>
      </c>
      <c r="C29" s="68">
        <f t="shared" ref="C29:D29" si="3">C$27/$C$27</f>
        <v>1</v>
      </c>
      <c r="D29" s="68">
        <f t="shared" si="3"/>
        <v>1.052994672</v>
      </c>
      <c r="E29" s="68">
        <f t="shared" ref="E29:Z29" si="4">E$27/$E$27</f>
        <v>1</v>
      </c>
      <c r="F29" s="68">
        <f t="shared" si="4"/>
        <v>0.2546696404</v>
      </c>
      <c r="G29" s="68">
        <f t="shared" si="4"/>
        <v>1.076267474</v>
      </c>
      <c r="H29" s="68">
        <f t="shared" si="4"/>
        <v>1.157774603</v>
      </c>
      <c r="I29" s="68">
        <f t="shared" si="4"/>
        <v>0.8329558127</v>
      </c>
      <c r="J29" s="68">
        <f t="shared" si="4"/>
        <v>0.5014904248</v>
      </c>
      <c r="K29" s="68">
        <f t="shared" si="4"/>
        <v>0.305269027</v>
      </c>
      <c r="L29" s="68">
        <f t="shared" si="4"/>
        <v>1.080777809</v>
      </c>
      <c r="M29" s="68">
        <f t="shared" si="4"/>
        <v>1.087991358</v>
      </c>
      <c r="N29" s="68">
        <f t="shared" si="4"/>
        <v>0.6577641483</v>
      </c>
      <c r="O29" s="68">
        <f t="shared" si="4"/>
        <v>0.4903122386</v>
      </c>
      <c r="P29" s="68">
        <f t="shared" si="4"/>
        <v>0.2946055199</v>
      </c>
      <c r="Q29" s="68">
        <f t="shared" si="4"/>
        <v>1.034311938</v>
      </c>
      <c r="R29" s="68">
        <f t="shared" si="4"/>
        <v>1.011597435</v>
      </c>
      <c r="S29" s="68">
        <f t="shared" si="4"/>
        <v>0.8070167914</v>
      </c>
      <c r="T29" s="68">
        <f t="shared" si="4"/>
        <v>0.4015890716</v>
      </c>
      <c r="U29" s="68">
        <f t="shared" si="4"/>
        <v>0.1145804293</v>
      </c>
      <c r="V29" s="68">
        <f t="shared" si="4"/>
        <v>1.171498931</v>
      </c>
      <c r="W29" s="68">
        <f t="shared" si="4"/>
        <v>1.145699749</v>
      </c>
      <c r="X29" s="68">
        <f t="shared" si="4"/>
        <v>0.6720422037</v>
      </c>
      <c r="Y29" s="68">
        <f t="shared" si="4"/>
        <v>0.3393504321</v>
      </c>
      <c r="Z29" s="68">
        <f t="shared" si="4"/>
        <v>0.3332868693</v>
      </c>
    </row>
    <row r="30" ht="15.75" customHeight="1">
      <c r="B30" s="67" t="s">
        <v>18</v>
      </c>
      <c r="C30" s="68">
        <f t="shared" ref="C30:D30" si="5">(C27-$C$27)/($C$27)</f>
        <v>0</v>
      </c>
      <c r="D30" s="68">
        <f t="shared" si="5"/>
        <v>0.05299467175</v>
      </c>
      <c r="E30" s="68">
        <f t="shared" ref="E30:Z30" si="6">(E27-$E$27)/($E$27)</f>
        <v>0</v>
      </c>
      <c r="F30" s="68">
        <f t="shared" si="6"/>
        <v>-0.7453303596</v>
      </c>
      <c r="G30" s="68">
        <f t="shared" si="6"/>
        <v>0.07626747381</v>
      </c>
      <c r="H30" s="68">
        <f t="shared" si="6"/>
        <v>0.1577746027</v>
      </c>
      <c r="I30" s="68">
        <f t="shared" si="6"/>
        <v>-0.1670441873</v>
      </c>
      <c r="J30" s="68">
        <f t="shared" si="6"/>
        <v>-0.4985095752</v>
      </c>
      <c r="K30" s="68">
        <f t="shared" si="6"/>
        <v>-0.694730973</v>
      </c>
      <c r="L30" s="68">
        <f t="shared" si="6"/>
        <v>0.08077780875</v>
      </c>
      <c r="M30" s="68">
        <f t="shared" si="6"/>
        <v>0.08799135768</v>
      </c>
      <c r="N30" s="68">
        <f t="shared" si="6"/>
        <v>-0.3422358517</v>
      </c>
      <c r="O30" s="68">
        <f t="shared" si="6"/>
        <v>-0.5096877614</v>
      </c>
      <c r="P30" s="68">
        <f t="shared" si="6"/>
        <v>-0.7053944801</v>
      </c>
      <c r="Q30" s="68">
        <f t="shared" si="6"/>
        <v>0.03431193841</v>
      </c>
      <c r="R30" s="68">
        <f t="shared" si="6"/>
        <v>0.01159743518</v>
      </c>
      <c r="S30" s="68">
        <f t="shared" si="6"/>
        <v>-0.1929832086</v>
      </c>
      <c r="T30" s="68">
        <f t="shared" si="6"/>
        <v>-0.5984109284</v>
      </c>
      <c r="U30" s="68">
        <f t="shared" si="6"/>
        <v>-0.8854195707</v>
      </c>
      <c r="V30" s="68">
        <f t="shared" si="6"/>
        <v>0.1714989313</v>
      </c>
      <c r="W30" s="68">
        <f t="shared" si="6"/>
        <v>0.1456997491</v>
      </c>
      <c r="X30" s="68">
        <f t="shared" si="6"/>
        <v>-0.3279577963</v>
      </c>
      <c r="Y30" s="68">
        <f t="shared" si="6"/>
        <v>-0.6606495679</v>
      </c>
      <c r="Z30" s="68">
        <f t="shared" si="6"/>
        <v>-0.6667131307</v>
      </c>
    </row>
    <row r="31" ht="15.75" customHeight="1"/>
    <row r="32" ht="15.75" customHeight="1">
      <c r="B32" s="69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70" t="s">
        <v>20</v>
      </c>
      <c r="C33" s="71" t="s">
        <v>21</v>
      </c>
      <c r="D33" s="71" t="s">
        <v>22</v>
      </c>
      <c r="E33" s="72" t="s">
        <v>23</v>
      </c>
      <c r="F33" s="73"/>
      <c r="G33" s="72" t="s">
        <v>15</v>
      </c>
      <c r="H33" s="73"/>
      <c r="I33" s="74" t="s">
        <v>24</v>
      </c>
      <c r="J33" s="73"/>
      <c r="K33" s="74" t="s">
        <v>25</v>
      </c>
      <c r="L33" s="73"/>
      <c r="M33" s="74" t="s">
        <v>17</v>
      </c>
      <c r="N33" s="73"/>
      <c r="O33" s="74" t="s">
        <v>26</v>
      </c>
      <c r="P33" s="73"/>
      <c r="Q33" s="74" t="s">
        <v>27</v>
      </c>
      <c r="R33" s="75"/>
      <c r="S33" s="74" t="s">
        <v>18</v>
      </c>
      <c r="T33" s="75"/>
      <c r="U33" s="76"/>
      <c r="V33" s="76"/>
    </row>
    <row r="34" ht="15.75" customHeight="1">
      <c r="B34" s="28"/>
      <c r="C34" s="28"/>
      <c r="D34" s="28"/>
      <c r="E34" s="77"/>
      <c r="F34" s="78"/>
      <c r="G34" s="77"/>
      <c r="H34" s="78"/>
      <c r="I34" s="77"/>
      <c r="J34" s="78"/>
      <c r="K34" s="77"/>
      <c r="L34" s="78"/>
      <c r="M34" s="77"/>
      <c r="N34" s="78"/>
      <c r="O34" s="77"/>
      <c r="P34" s="78"/>
      <c r="Q34" s="77"/>
      <c r="R34" s="79"/>
      <c r="S34" s="77"/>
      <c r="T34" s="79"/>
      <c r="U34" s="76"/>
      <c r="V34" s="76"/>
    </row>
    <row r="35" ht="15.75" customHeight="1">
      <c r="B35" s="80" t="s">
        <v>3</v>
      </c>
      <c r="C35" s="81" t="s">
        <v>8</v>
      </c>
      <c r="D35" s="82">
        <v>1.0</v>
      </c>
      <c r="E35" s="83">
        <v>10.0</v>
      </c>
      <c r="F35" s="78"/>
      <c r="G35" s="84">
        <f>AVERAGE(E35:F36)</f>
        <v>9</v>
      </c>
      <c r="H35" s="85"/>
      <c r="I35" s="84">
        <f>(G35/10)*100</f>
        <v>90</v>
      </c>
      <c r="J35" s="85"/>
      <c r="K35" s="84">
        <f>(G35/$E$35)*100</f>
        <v>90</v>
      </c>
      <c r="L35" s="85"/>
      <c r="M35" s="84">
        <f>C29</f>
        <v>1</v>
      </c>
      <c r="N35" s="85"/>
      <c r="O35" s="84">
        <f>(K35*M35)/100</f>
        <v>0.9</v>
      </c>
      <c r="P35" s="85"/>
      <c r="Q35" s="84">
        <f>(O35-$O$35)/$O$35</f>
        <v>0</v>
      </c>
      <c r="R35" s="85"/>
      <c r="S35" s="84">
        <f t="array" ref="S35">INDEX($C$30:$Z$30, INT((ROW(A1)+1)/2))</f>
        <v>0</v>
      </c>
      <c r="T35" s="85"/>
    </row>
    <row r="36" ht="15.75" customHeight="1">
      <c r="B36" s="17"/>
      <c r="C36" s="28"/>
      <c r="D36" s="82">
        <v>2.0</v>
      </c>
      <c r="E36" s="83">
        <v>8.0</v>
      </c>
      <c r="F36" s="78"/>
      <c r="G36" s="79"/>
      <c r="H36" s="78"/>
      <c r="I36" s="79"/>
      <c r="J36" s="78"/>
      <c r="K36" s="79"/>
      <c r="L36" s="78"/>
      <c r="M36" s="79"/>
      <c r="N36" s="78"/>
      <c r="O36" s="79"/>
      <c r="P36" s="78"/>
      <c r="Q36" s="79"/>
      <c r="R36" s="78"/>
      <c r="S36" s="79"/>
      <c r="T36" s="78"/>
    </row>
    <row r="37" ht="15.75" customHeight="1">
      <c r="B37" s="17"/>
      <c r="C37" s="81" t="s">
        <v>9</v>
      </c>
      <c r="D37" s="82">
        <v>1.0</v>
      </c>
      <c r="E37" s="83">
        <v>10.0</v>
      </c>
      <c r="F37" s="78"/>
      <c r="G37" s="84">
        <f>AVERAGE(E37:F38)</f>
        <v>8</v>
      </c>
      <c r="H37" s="85"/>
      <c r="I37" s="84">
        <f>(G37/10)*100</f>
        <v>80</v>
      </c>
      <c r="J37" s="85"/>
      <c r="K37" s="84">
        <f>(G37/$E$35)*100</f>
        <v>80</v>
      </c>
      <c r="L37" s="85"/>
      <c r="M37" s="84">
        <f>D29</f>
        <v>1.052994672</v>
      </c>
      <c r="N37" s="85"/>
      <c r="O37" s="84">
        <f>(K37*M37)/100</f>
        <v>0.8423957374</v>
      </c>
      <c r="P37" s="85"/>
      <c r="Q37" s="84">
        <f>(O37-$O$35)/$O$35</f>
        <v>-0.06400473622</v>
      </c>
      <c r="R37" s="85"/>
      <c r="S37" s="84">
        <f t="array" ref="S37">INDEX($C$30:$Z$30, INT((ROW(A3)+1)/2))</f>
        <v>0.05299467175</v>
      </c>
      <c r="T37" s="85"/>
    </row>
    <row r="38" ht="15.75" customHeight="1">
      <c r="B38" s="17"/>
      <c r="C38" s="28"/>
      <c r="D38" s="82">
        <v>2.0</v>
      </c>
      <c r="E38" s="83">
        <v>6.0</v>
      </c>
      <c r="F38" s="78"/>
      <c r="G38" s="79"/>
      <c r="H38" s="78"/>
      <c r="I38" s="79"/>
      <c r="J38" s="78"/>
      <c r="K38" s="79"/>
      <c r="L38" s="78"/>
      <c r="M38" s="79"/>
      <c r="N38" s="78"/>
      <c r="O38" s="79"/>
      <c r="P38" s="78"/>
      <c r="Q38" s="79"/>
      <c r="R38" s="78"/>
      <c r="S38" s="79"/>
      <c r="T38" s="78"/>
    </row>
    <row r="39" ht="15.75" customHeight="1">
      <c r="B39" s="17"/>
      <c r="C39" s="81" t="s">
        <v>10</v>
      </c>
      <c r="D39" s="82">
        <v>1.0</v>
      </c>
      <c r="E39" s="83">
        <v>10.0</v>
      </c>
      <c r="F39" s="78"/>
      <c r="G39" s="84">
        <f>AVERAGE(E39:F40)</f>
        <v>9</v>
      </c>
      <c r="H39" s="85"/>
      <c r="I39" s="84">
        <f>(G39/10)*100</f>
        <v>90</v>
      </c>
      <c r="J39" s="85"/>
      <c r="K39" s="84">
        <f>(G39/$E$39)*100</f>
        <v>90</v>
      </c>
      <c r="L39" s="85"/>
      <c r="M39" s="84">
        <f>E29</f>
        <v>1</v>
      </c>
      <c r="N39" s="85"/>
      <c r="O39" s="84">
        <f>(K39*M39)/100</f>
        <v>0.9</v>
      </c>
      <c r="P39" s="85"/>
      <c r="Q39" s="84">
        <f>(O39-$O$39)/$O$39</f>
        <v>0</v>
      </c>
      <c r="R39" s="85"/>
      <c r="S39" s="84">
        <f t="array" ref="S39">INDEX($C$30:$Z$30, INT((ROW(A5)+1)/2))</f>
        <v>0</v>
      </c>
      <c r="T39" s="85"/>
    </row>
    <row r="40" ht="15.75" customHeight="1">
      <c r="B40" s="17"/>
      <c r="C40" s="28"/>
      <c r="D40" s="82">
        <v>2.0</v>
      </c>
      <c r="E40" s="83">
        <v>8.0</v>
      </c>
      <c r="F40" s="78"/>
      <c r="G40" s="79"/>
      <c r="H40" s="78"/>
      <c r="I40" s="79"/>
      <c r="J40" s="78"/>
      <c r="K40" s="79"/>
      <c r="L40" s="78"/>
      <c r="M40" s="79"/>
      <c r="N40" s="78"/>
      <c r="O40" s="79"/>
      <c r="P40" s="78"/>
      <c r="Q40" s="79"/>
      <c r="R40" s="78"/>
      <c r="S40" s="79"/>
      <c r="T40" s="78"/>
    </row>
    <row r="41" ht="15.75" customHeight="1">
      <c r="B41" s="17"/>
      <c r="C41" s="81" t="s">
        <v>11</v>
      </c>
      <c r="D41" s="82">
        <v>1.0</v>
      </c>
      <c r="E41" s="83">
        <v>7.0</v>
      </c>
      <c r="F41" s="78"/>
      <c r="G41" s="84">
        <f>AVERAGE(E41:F42)</f>
        <v>6</v>
      </c>
      <c r="H41" s="85"/>
      <c r="I41" s="84">
        <f>(G41/10)*100</f>
        <v>60</v>
      </c>
      <c r="J41" s="85"/>
      <c r="K41" s="84">
        <f>(G41/$E$39)*100</f>
        <v>60</v>
      </c>
      <c r="L41" s="85"/>
      <c r="M41" s="84">
        <f>F29</f>
        <v>0.2546696404</v>
      </c>
      <c r="N41" s="85"/>
      <c r="O41" s="84">
        <f>(K41*M41)/100</f>
        <v>0.1528017842</v>
      </c>
      <c r="P41" s="85"/>
      <c r="Q41" s="84">
        <f>(O41-$O$39)/$O$39</f>
        <v>-0.8302202398</v>
      </c>
      <c r="R41" s="85"/>
      <c r="S41" s="84">
        <f t="array" ref="S41">INDEX($C$30:$Z$30, INT((ROW(A7)+1)/2))</f>
        <v>-0.7453303596</v>
      </c>
      <c r="T41" s="85"/>
    </row>
    <row r="42" ht="15.75" customHeight="1">
      <c r="B42" s="28"/>
      <c r="C42" s="28"/>
      <c r="D42" s="82">
        <v>2.0</v>
      </c>
      <c r="E42" s="83">
        <v>5.0</v>
      </c>
      <c r="F42" s="78"/>
      <c r="G42" s="79"/>
      <c r="H42" s="78"/>
      <c r="I42" s="79"/>
      <c r="J42" s="78"/>
      <c r="K42" s="79"/>
      <c r="L42" s="78"/>
      <c r="M42" s="79"/>
      <c r="N42" s="78"/>
      <c r="O42" s="79"/>
      <c r="P42" s="78"/>
      <c r="Q42" s="79"/>
      <c r="R42" s="78"/>
      <c r="S42" s="79"/>
      <c r="T42" s="78"/>
    </row>
    <row r="43" ht="15.75" customHeight="1">
      <c r="B43" s="86" t="s">
        <v>4</v>
      </c>
      <c r="C43" s="87">
        <v>0.0</v>
      </c>
      <c r="D43" s="88">
        <v>1.0</v>
      </c>
      <c r="E43" s="83">
        <v>4.0</v>
      </c>
      <c r="F43" s="78"/>
      <c r="G43" s="84">
        <f>AVERAGE(E43:F44)</f>
        <v>7</v>
      </c>
      <c r="H43" s="85"/>
      <c r="I43" s="84">
        <f>(G43/10)*100</f>
        <v>70</v>
      </c>
      <c r="J43" s="85"/>
      <c r="K43" s="84">
        <f>(G43/$E$39)*100</f>
        <v>70</v>
      </c>
      <c r="L43" s="85"/>
      <c r="M43" s="84">
        <f>G29</f>
        <v>1.076267474</v>
      </c>
      <c r="N43" s="85"/>
      <c r="O43" s="84">
        <f>(K43*M43)/100</f>
        <v>0.7533872317</v>
      </c>
      <c r="P43" s="85"/>
      <c r="Q43" s="84">
        <f>(O43-$O$39)/$O$39</f>
        <v>-0.1629030759</v>
      </c>
      <c r="R43" s="85"/>
      <c r="S43" s="84">
        <f t="array" ref="S43">INDEX($C$30:$Z$30, INT((ROW(A9)+1)/2))</f>
        <v>0.07626747381</v>
      </c>
      <c r="T43" s="85"/>
    </row>
    <row r="44" ht="15.75" customHeight="1">
      <c r="B44" s="17"/>
      <c r="C44" s="28"/>
      <c r="D44" s="88">
        <v>2.0</v>
      </c>
      <c r="E44" s="83">
        <v>10.0</v>
      </c>
      <c r="F44" s="78"/>
      <c r="G44" s="79"/>
      <c r="H44" s="78"/>
      <c r="I44" s="79"/>
      <c r="J44" s="78"/>
      <c r="K44" s="79"/>
      <c r="L44" s="78"/>
      <c r="M44" s="79"/>
      <c r="N44" s="78"/>
      <c r="O44" s="79"/>
      <c r="P44" s="78"/>
      <c r="Q44" s="79"/>
      <c r="R44" s="78"/>
      <c r="S44" s="79"/>
      <c r="T44" s="78"/>
    </row>
    <row r="45" ht="15.75" customHeight="1">
      <c r="B45" s="17"/>
      <c r="C45" s="87">
        <v>25.0</v>
      </c>
      <c r="D45" s="88">
        <v>1.0</v>
      </c>
      <c r="E45" s="83">
        <v>7.0</v>
      </c>
      <c r="F45" s="78"/>
      <c r="G45" s="84">
        <f>AVERAGE(E45:F46)</f>
        <v>8</v>
      </c>
      <c r="H45" s="85"/>
      <c r="I45" s="84">
        <f>(G45/10)*100</f>
        <v>80</v>
      </c>
      <c r="J45" s="85"/>
      <c r="K45" s="84">
        <f>(G45/$E$39)*100</f>
        <v>80</v>
      </c>
      <c r="L45" s="85"/>
      <c r="M45" s="84">
        <f>H29</f>
        <v>1.157774603</v>
      </c>
      <c r="N45" s="85"/>
      <c r="O45" s="84">
        <f>(K45*M45)/100</f>
        <v>0.9262196822</v>
      </c>
      <c r="P45" s="85"/>
      <c r="Q45" s="84">
        <f>(O45-$O$39)/$O$39</f>
        <v>0.02913298021</v>
      </c>
      <c r="R45" s="85"/>
      <c r="S45" s="84">
        <f t="array" ref="S45">INDEX($C$30:$Z$30, INT((ROW(A11)+1)/2))</f>
        <v>0.1577746027</v>
      </c>
      <c r="T45" s="85"/>
    </row>
    <row r="46" ht="15.75" customHeight="1">
      <c r="B46" s="17"/>
      <c r="C46" s="28"/>
      <c r="D46" s="88">
        <v>2.0</v>
      </c>
      <c r="E46" s="83">
        <v>9.0</v>
      </c>
      <c r="F46" s="78"/>
      <c r="G46" s="79"/>
      <c r="H46" s="78"/>
      <c r="I46" s="79"/>
      <c r="J46" s="78"/>
      <c r="K46" s="79"/>
      <c r="L46" s="78"/>
      <c r="M46" s="79"/>
      <c r="N46" s="78"/>
      <c r="O46" s="79"/>
      <c r="P46" s="78"/>
      <c r="Q46" s="79"/>
      <c r="R46" s="78"/>
      <c r="S46" s="79"/>
      <c r="T46" s="78"/>
    </row>
    <row r="47" ht="15.75" customHeight="1">
      <c r="B47" s="17"/>
      <c r="C47" s="87">
        <v>50.0</v>
      </c>
      <c r="D47" s="88">
        <v>1.0</v>
      </c>
      <c r="E47" s="83">
        <v>6.0</v>
      </c>
      <c r="F47" s="78"/>
      <c r="G47" s="84">
        <f>AVERAGE(E47:F48)</f>
        <v>8</v>
      </c>
      <c r="H47" s="85"/>
      <c r="I47" s="84">
        <f>(G47/10)*100</f>
        <v>80</v>
      </c>
      <c r="J47" s="85"/>
      <c r="K47" s="84">
        <f>(G47/$E$39)*100</f>
        <v>80</v>
      </c>
      <c r="L47" s="85"/>
      <c r="M47" s="84">
        <f>I29</f>
        <v>0.8329558127</v>
      </c>
      <c r="N47" s="85"/>
      <c r="O47" s="84">
        <f>(K47*M47)/100</f>
        <v>0.6663646501</v>
      </c>
      <c r="P47" s="85"/>
      <c r="Q47" s="84">
        <f>(O47-$O$39)/$O$39</f>
        <v>-0.2595948332</v>
      </c>
      <c r="R47" s="85"/>
      <c r="S47" s="84">
        <f t="array" ref="S47">INDEX($C$30:$Z$30, INT((ROW(A13)+1)/2))</f>
        <v>-0.1670441873</v>
      </c>
      <c r="T47" s="85"/>
    </row>
    <row r="48" ht="15.75" customHeight="1">
      <c r="B48" s="17"/>
      <c r="C48" s="28"/>
      <c r="D48" s="88">
        <v>2.0</v>
      </c>
      <c r="E48" s="83">
        <v>10.0</v>
      </c>
      <c r="F48" s="78"/>
      <c r="G48" s="79"/>
      <c r="H48" s="78"/>
      <c r="I48" s="79"/>
      <c r="J48" s="78"/>
      <c r="K48" s="79"/>
      <c r="L48" s="78"/>
      <c r="M48" s="79"/>
      <c r="N48" s="78"/>
      <c r="O48" s="79"/>
      <c r="P48" s="78"/>
      <c r="Q48" s="79"/>
      <c r="R48" s="78"/>
      <c r="S48" s="79"/>
      <c r="T48" s="78"/>
    </row>
    <row r="49" ht="15.75" customHeight="1">
      <c r="B49" s="17"/>
      <c r="C49" s="87">
        <v>75.0</v>
      </c>
      <c r="D49" s="88">
        <v>1.0</v>
      </c>
      <c r="E49" s="83">
        <v>6.0</v>
      </c>
      <c r="F49" s="78"/>
      <c r="G49" s="84">
        <f>AVERAGE(E49:F50)</f>
        <v>6.5</v>
      </c>
      <c r="H49" s="85"/>
      <c r="I49" s="84">
        <f>(G49/10)*100</f>
        <v>65</v>
      </c>
      <c r="J49" s="85"/>
      <c r="K49" s="84">
        <f>(G49/$E$39)*100</f>
        <v>65</v>
      </c>
      <c r="L49" s="85"/>
      <c r="M49" s="84">
        <f>J29</f>
        <v>0.5014904248</v>
      </c>
      <c r="N49" s="85"/>
      <c r="O49" s="84">
        <f>(K49*M49)/100</f>
        <v>0.3259687761</v>
      </c>
      <c r="P49" s="85"/>
      <c r="Q49" s="84">
        <f>(O49-$O$39)/$O$39</f>
        <v>-0.637812471</v>
      </c>
      <c r="R49" s="85"/>
      <c r="S49" s="84">
        <f t="array" ref="S49">INDEX($C$30:$Z$30, INT((ROW(A15)+1)/2))</f>
        <v>-0.4985095752</v>
      </c>
      <c r="T49" s="85"/>
    </row>
    <row r="50" ht="15.75" customHeight="1">
      <c r="A50" s="89"/>
      <c r="B50" s="17"/>
      <c r="C50" s="28"/>
      <c r="D50" s="88">
        <v>2.0</v>
      </c>
      <c r="E50" s="83">
        <v>7.0</v>
      </c>
      <c r="F50" s="78"/>
      <c r="G50" s="79"/>
      <c r="H50" s="78"/>
      <c r="I50" s="79"/>
      <c r="J50" s="78"/>
      <c r="K50" s="79"/>
      <c r="L50" s="78"/>
      <c r="M50" s="79"/>
      <c r="N50" s="78"/>
      <c r="O50" s="79"/>
      <c r="P50" s="78"/>
      <c r="Q50" s="79"/>
      <c r="R50" s="78"/>
      <c r="S50" s="79"/>
      <c r="T50" s="78"/>
    </row>
    <row r="51" ht="15.75" customHeight="1">
      <c r="A51" s="89"/>
      <c r="B51" s="17"/>
      <c r="C51" s="87">
        <v>100.0</v>
      </c>
      <c r="D51" s="88">
        <v>1.0</v>
      </c>
      <c r="E51" s="90">
        <v>2.0</v>
      </c>
      <c r="F51" s="10"/>
      <c r="G51" s="84">
        <f>AVERAGE(E51:F52)</f>
        <v>2.5</v>
      </c>
      <c r="H51" s="85"/>
      <c r="I51" s="84">
        <f>(G51/10)*100</f>
        <v>25</v>
      </c>
      <c r="J51" s="85"/>
      <c r="K51" s="84">
        <f>(G51/$E$39)*100</f>
        <v>25</v>
      </c>
      <c r="L51" s="85"/>
      <c r="M51" s="84">
        <f>K29</f>
        <v>0.305269027</v>
      </c>
      <c r="N51" s="85"/>
      <c r="O51" s="84">
        <f>(K51*M51)/100</f>
        <v>0.07631725676</v>
      </c>
      <c r="P51" s="85"/>
      <c r="Q51" s="84">
        <f>(O51-$O$39)/$O$39</f>
        <v>-0.915203048</v>
      </c>
      <c r="R51" s="85"/>
      <c r="S51" s="84">
        <f t="array" ref="S51">INDEX($C$30:$Z$30, INT((ROW(A17)+1)/2))</f>
        <v>-0.694730973</v>
      </c>
      <c r="T51" s="85"/>
    </row>
    <row r="52" ht="15.75" customHeight="1">
      <c r="A52" s="89"/>
      <c r="B52" s="28"/>
      <c r="C52" s="28"/>
      <c r="D52" s="88">
        <v>2.0</v>
      </c>
      <c r="E52" s="90">
        <v>3.0</v>
      </c>
      <c r="F52" s="10"/>
      <c r="G52" s="79"/>
      <c r="H52" s="78"/>
      <c r="I52" s="79"/>
      <c r="J52" s="78"/>
      <c r="K52" s="79"/>
      <c r="L52" s="78"/>
      <c r="M52" s="79"/>
      <c r="N52" s="78"/>
      <c r="O52" s="79"/>
      <c r="P52" s="78"/>
      <c r="Q52" s="79"/>
      <c r="R52" s="78"/>
      <c r="S52" s="79"/>
      <c r="T52" s="78"/>
    </row>
    <row r="53" ht="15.75" customHeight="1">
      <c r="A53" s="89"/>
      <c r="B53" s="92" t="s">
        <v>5</v>
      </c>
      <c r="C53" s="93">
        <v>0.0</v>
      </c>
      <c r="D53" s="94">
        <v>1.0</v>
      </c>
      <c r="E53" s="90">
        <v>6.0</v>
      </c>
      <c r="F53" s="10"/>
      <c r="G53" s="84">
        <f>AVERAGE(E53:F54)</f>
        <v>6</v>
      </c>
      <c r="H53" s="85"/>
      <c r="I53" s="84">
        <f>(G53/10)*100</f>
        <v>60</v>
      </c>
      <c r="J53" s="85"/>
      <c r="K53" s="84">
        <f>(G53/$E$39)*100</f>
        <v>60</v>
      </c>
      <c r="L53" s="85"/>
      <c r="M53" s="84">
        <f>L29</f>
        <v>1.080777809</v>
      </c>
      <c r="N53" s="85"/>
      <c r="O53" s="84">
        <f>(K53*M53)/100</f>
        <v>0.6484666853</v>
      </c>
      <c r="P53" s="85"/>
      <c r="Q53" s="84">
        <f>(O53-$O$39)/$O$39</f>
        <v>-0.2794814608</v>
      </c>
      <c r="R53" s="85"/>
      <c r="S53" s="84">
        <f t="array" ref="S53">INDEX($C$30:$Z$30, INT((ROW(A19)+1)/2))</f>
        <v>0.08077780875</v>
      </c>
      <c r="T53" s="85"/>
    </row>
    <row r="54" ht="15.75" customHeight="1">
      <c r="A54" s="89"/>
      <c r="B54" s="17"/>
      <c r="C54" s="28"/>
      <c r="D54" s="94">
        <v>2.0</v>
      </c>
      <c r="E54" s="90">
        <v>6.0</v>
      </c>
      <c r="F54" s="10"/>
      <c r="G54" s="79"/>
      <c r="H54" s="78"/>
      <c r="I54" s="79"/>
      <c r="J54" s="78"/>
      <c r="K54" s="79"/>
      <c r="L54" s="78"/>
      <c r="M54" s="79"/>
      <c r="N54" s="78"/>
      <c r="O54" s="79"/>
      <c r="P54" s="78"/>
      <c r="Q54" s="79"/>
      <c r="R54" s="78"/>
      <c r="S54" s="79"/>
      <c r="T54" s="78"/>
    </row>
    <row r="55" ht="15.75" customHeight="1">
      <c r="A55" s="89"/>
      <c r="B55" s="17"/>
      <c r="C55" s="93">
        <v>25.0</v>
      </c>
      <c r="D55" s="94">
        <v>1.0</v>
      </c>
      <c r="E55" s="90">
        <v>7.0</v>
      </c>
      <c r="F55" s="10"/>
      <c r="G55" s="84">
        <f>AVERAGE(E55:F56)</f>
        <v>8</v>
      </c>
      <c r="H55" s="85"/>
      <c r="I55" s="84">
        <f>(G55/10)*100</f>
        <v>80</v>
      </c>
      <c r="J55" s="85"/>
      <c r="K55" s="84">
        <f>(G55/$E$39)*100</f>
        <v>80</v>
      </c>
      <c r="L55" s="85"/>
      <c r="M55" s="84">
        <f>M29</f>
        <v>1.087991358</v>
      </c>
      <c r="N55" s="85"/>
      <c r="O55" s="84">
        <f>(K55*M55)/100</f>
        <v>0.8703930861</v>
      </c>
      <c r="P55" s="85"/>
      <c r="Q55" s="84">
        <f>(O55-$O$39)/$O$39</f>
        <v>-0.03289657095</v>
      </c>
      <c r="R55" s="85"/>
      <c r="S55" s="84">
        <f t="array" ref="S55">INDEX($C$30:$Z$30, INT((ROW(A21)+1)/2))</f>
        <v>0.08799135768</v>
      </c>
      <c r="T55" s="85"/>
    </row>
    <row r="56" ht="15.75" customHeight="1">
      <c r="A56" s="89"/>
      <c r="B56" s="17"/>
      <c r="C56" s="28"/>
      <c r="D56" s="94">
        <v>2.0</v>
      </c>
      <c r="E56" s="90">
        <v>9.0</v>
      </c>
      <c r="F56" s="10"/>
      <c r="G56" s="79"/>
      <c r="H56" s="78"/>
      <c r="I56" s="79"/>
      <c r="J56" s="78"/>
      <c r="K56" s="79"/>
      <c r="L56" s="78"/>
      <c r="M56" s="79"/>
      <c r="N56" s="78"/>
      <c r="O56" s="79"/>
      <c r="P56" s="78"/>
      <c r="Q56" s="79"/>
      <c r="R56" s="78"/>
      <c r="S56" s="79"/>
      <c r="T56" s="78"/>
    </row>
    <row r="57" ht="15.75" customHeight="1">
      <c r="A57" s="89"/>
      <c r="B57" s="17"/>
      <c r="C57" s="93">
        <v>50.0</v>
      </c>
      <c r="D57" s="94">
        <v>1.0</v>
      </c>
      <c r="E57" s="90">
        <v>7.0</v>
      </c>
      <c r="F57" s="10"/>
      <c r="G57" s="84">
        <f>AVERAGE(E57:F58)</f>
        <v>7.5</v>
      </c>
      <c r="H57" s="85"/>
      <c r="I57" s="84">
        <f>(G57/10)*100</f>
        <v>75</v>
      </c>
      <c r="J57" s="85"/>
      <c r="K57" s="84">
        <f>(G57/$E$39)*100</f>
        <v>75</v>
      </c>
      <c r="L57" s="85"/>
      <c r="M57" s="84">
        <f>N29</f>
        <v>0.6577641483</v>
      </c>
      <c r="N57" s="85"/>
      <c r="O57" s="84">
        <f>(K57*M57)/100</f>
        <v>0.4933231112</v>
      </c>
      <c r="P57" s="85"/>
      <c r="Q57" s="84">
        <f>(O57-$O$39)/$O$39</f>
        <v>-0.4518632097</v>
      </c>
      <c r="R57" s="85"/>
      <c r="S57" s="84">
        <f t="array" ref="S57">INDEX($C$30:$Z$30, INT((ROW(A23)+1)/2))</f>
        <v>-0.3422358517</v>
      </c>
      <c r="T57" s="85"/>
    </row>
    <row r="58" ht="15.75" customHeight="1">
      <c r="A58" s="89"/>
      <c r="B58" s="17"/>
      <c r="C58" s="28"/>
      <c r="D58" s="94">
        <v>2.0</v>
      </c>
      <c r="E58" s="90">
        <v>8.0</v>
      </c>
      <c r="F58" s="10"/>
      <c r="G58" s="79"/>
      <c r="H58" s="78"/>
      <c r="I58" s="79"/>
      <c r="J58" s="78"/>
      <c r="K58" s="79"/>
      <c r="L58" s="78"/>
      <c r="M58" s="79"/>
      <c r="N58" s="78"/>
      <c r="O58" s="79"/>
      <c r="P58" s="78"/>
      <c r="Q58" s="79"/>
      <c r="R58" s="78"/>
      <c r="S58" s="79"/>
      <c r="T58" s="78"/>
    </row>
    <row r="59" ht="15.75" customHeight="1">
      <c r="A59" s="95"/>
      <c r="B59" s="17"/>
      <c r="C59" s="93">
        <v>75.0</v>
      </c>
      <c r="D59" s="94">
        <v>1.0</v>
      </c>
      <c r="E59" s="90">
        <v>2.0</v>
      </c>
      <c r="F59" s="10"/>
      <c r="G59" s="84">
        <f>AVERAGE(E59:F60)</f>
        <v>2</v>
      </c>
      <c r="H59" s="85"/>
      <c r="I59" s="84">
        <f>(G59/10)*100</f>
        <v>20</v>
      </c>
      <c r="J59" s="85"/>
      <c r="K59" s="84">
        <f>(G59/$E$39)*100</f>
        <v>20</v>
      </c>
      <c r="L59" s="85"/>
      <c r="M59" s="84">
        <f>O29</f>
        <v>0.4903122386</v>
      </c>
      <c r="N59" s="85"/>
      <c r="O59" s="84">
        <f>(K59*M59)/100</f>
        <v>0.09806244773</v>
      </c>
      <c r="P59" s="85"/>
      <c r="Q59" s="84">
        <f>(O59-$O$39)/$O$39</f>
        <v>-0.8910417247</v>
      </c>
      <c r="R59" s="85"/>
      <c r="S59" s="84">
        <f t="array" ref="S59">INDEX($C$30:$Z$30, INT((ROW(A25)+1)/2))</f>
        <v>-0.5096877614</v>
      </c>
      <c r="T59" s="85"/>
    </row>
    <row r="60" ht="15.75" customHeight="1">
      <c r="A60" s="95"/>
      <c r="B60" s="17"/>
      <c r="C60" s="28"/>
      <c r="D60" s="94">
        <v>2.0</v>
      </c>
      <c r="E60" s="90">
        <v>2.0</v>
      </c>
      <c r="F60" s="10"/>
      <c r="G60" s="79"/>
      <c r="H60" s="78"/>
      <c r="I60" s="79"/>
      <c r="J60" s="78"/>
      <c r="K60" s="79"/>
      <c r="L60" s="78"/>
      <c r="M60" s="79"/>
      <c r="N60" s="78"/>
      <c r="O60" s="79"/>
      <c r="P60" s="78"/>
      <c r="Q60" s="79"/>
      <c r="R60" s="78"/>
      <c r="S60" s="79"/>
      <c r="T60" s="78"/>
    </row>
    <row r="61" ht="15.75" customHeight="1">
      <c r="B61" s="17"/>
      <c r="C61" s="93">
        <v>100.0</v>
      </c>
      <c r="D61" s="94">
        <v>1.0</v>
      </c>
      <c r="E61" s="90">
        <v>2.0</v>
      </c>
      <c r="F61" s="10"/>
      <c r="G61" s="84">
        <f>AVERAGE(E61:F62)</f>
        <v>2</v>
      </c>
      <c r="H61" s="85"/>
      <c r="I61" s="84">
        <f>(G61/10)*100</f>
        <v>20</v>
      </c>
      <c r="J61" s="85"/>
      <c r="K61" s="84">
        <f>(G61/$E$39)*100</f>
        <v>20</v>
      </c>
      <c r="L61" s="85"/>
      <c r="M61" s="84">
        <f>P29</f>
        <v>0.2946055199</v>
      </c>
      <c r="N61" s="85"/>
      <c r="O61" s="84">
        <f>(K61*M61)/100</f>
        <v>0.05892110399</v>
      </c>
      <c r="P61" s="85"/>
      <c r="Q61" s="84">
        <f>(O61-$O$39)/$O$39</f>
        <v>-0.9345321067</v>
      </c>
      <c r="R61" s="85"/>
      <c r="S61" s="84">
        <f t="array" ref="S61">INDEX($C$30:$Z$30, INT((ROW(A27)+1)/2))</f>
        <v>-0.7053944801</v>
      </c>
      <c r="T61" s="85"/>
    </row>
    <row r="62" ht="15.75" customHeight="1">
      <c r="B62" s="28"/>
      <c r="C62" s="28"/>
      <c r="D62" s="94">
        <v>2.0</v>
      </c>
      <c r="E62" s="90">
        <v>2.0</v>
      </c>
      <c r="F62" s="10"/>
      <c r="G62" s="79"/>
      <c r="H62" s="78"/>
      <c r="I62" s="79"/>
      <c r="J62" s="78"/>
      <c r="K62" s="79"/>
      <c r="L62" s="78"/>
      <c r="M62" s="79"/>
      <c r="N62" s="78"/>
      <c r="O62" s="79"/>
      <c r="P62" s="78"/>
      <c r="Q62" s="79"/>
      <c r="R62" s="78"/>
      <c r="S62" s="79"/>
      <c r="T62" s="78"/>
    </row>
    <row r="63" ht="15.75" customHeight="1">
      <c r="B63" s="96" t="s">
        <v>6</v>
      </c>
      <c r="C63" s="97">
        <v>0.0</v>
      </c>
      <c r="D63" s="98">
        <v>1.0</v>
      </c>
      <c r="E63" s="90">
        <v>7.0</v>
      </c>
      <c r="F63" s="10"/>
      <c r="G63" s="84">
        <f>AVERAGE(E63:F64)</f>
        <v>6.5</v>
      </c>
      <c r="H63" s="85"/>
      <c r="I63" s="84">
        <f>(G63/10)*100</f>
        <v>65</v>
      </c>
      <c r="J63" s="85"/>
      <c r="K63" s="84">
        <f>(G63/$E$39)*100</f>
        <v>65</v>
      </c>
      <c r="L63" s="85"/>
      <c r="M63" s="84">
        <f>Q29</f>
        <v>1.034311938</v>
      </c>
      <c r="N63" s="85"/>
      <c r="O63" s="84">
        <f>(K63*M63)/100</f>
        <v>0.67230276</v>
      </c>
      <c r="P63" s="85"/>
      <c r="Q63" s="84">
        <f>(O63-$O$39)/$O$39</f>
        <v>-0.2529969334</v>
      </c>
      <c r="R63" s="85"/>
      <c r="S63" s="84">
        <f t="array" ref="S63">INDEX($C$30:$Z$30, INT((ROW(A29)+1)/2))</f>
        <v>0.03431193841</v>
      </c>
      <c r="T63" s="85"/>
    </row>
    <row r="64" ht="15.75" customHeight="1">
      <c r="B64" s="17"/>
      <c r="C64" s="28"/>
      <c r="D64" s="98">
        <v>2.0</v>
      </c>
      <c r="E64" s="90">
        <v>6.0</v>
      </c>
      <c r="F64" s="10"/>
      <c r="G64" s="79"/>
      <c r="H64" s="78"/>
      <c r="I64" s="79"/>
      <c r="J64" s="78"/>
      <c r="K64" s="79"/>
      <c r="L64" s="78"/>
      <c r="M64" s="79"/>
      <c r="N64" s="78"/>
      <c r="O64" s="79"/>
      <c r="P64" s="78"/>
      <c r="Q64" s="79"/>
      <c r="R64" s="78"/>
      <c r="S64" s="79"/>
      <c r="T64" s="78"/>
    </row>
    <row r="65" ht="15.75" customHeight="1">
      <c r="B65" s="17"/>
      <c r="C65" s="97">
        <v>25.0</v>
      </c>
      <c r="D65" s="98">
        <v>1.0</v>
      </c>
      <c r="E65" s="90">
        <v>7.0</v>
      </c>
      <c r="F65" s="10"/>
      <c r="G65" s="84">
        <f>AVERAGE(E65:F66)</f>
        <v>7.5</v>
      </c>
      <c r="H65" s="85"/>
      <c r="I65" s="84">
        <f>(G65/10)*100</f>
        <v>75</v>
      </c>
      <c r="J65" s="85"/>
      <c r="K65" s="84">
        <f>(G65/$E$39)*100</f>
        <v>75</v>
      </c>
      <c r="L65" s="85"/>
      <c r="M65" s="84">
        <f>R29</f>
        <v>1.011597435</v>
      </c>
      <c r="N65" s="85"/>
      <c r="O65" s="84">
        <f>(K65*M65)/100</f>
        <v>0.7586980764</v>
      </c>
      <c r="P65" s="85"/>
      <c r="Q65" s="84">
        <f>(O65-$O$39)/$O$39</f>
        <v>-0.1570021373</v>
      </c>
      <c r="R65" s="85"/>
      <c r="S65" s="84">
        <f t="array" ref="S65">INDEX($C$30:$Z$30, INT((ROW(A31)+1)/2))</f>
        <v>0.01159743518</v>
      </c>
      <c r="T65" s="85"/>
    </row>
    <row r="66" ht="15.75" customHeight="1">
      <c r="B66" s="17"/>
      <c r="C66" s="28"/>
      <c r="D66" s="98">
        <v>2.0</v>
      </c>
      <c r="E66" s="90">
        <v>8.0</v>
      </c>
      <c r="F66" s="10"/>
      <c r="G66" s="79"/>
      <c r="H66" s="78"/>
      <c r="I66" s="79"/>
      <c r="J66" s="78"/>
      <c r="K66" s="79"/>
      <c r="L66" s="78"/>
      <c r="M66" s="79"/>
      <c r="N66" s="78"/>
      <c r="O66" s="79"/>
      <c r="P66" s="78"/>
      <c r="Q66" s="79"/>
      <c r="R66" s="78"/>
      <c r="S66" s="79"/>
      <c r="T66" s="78"/>
    </row>
    <row r="67" ht="15.75" customHeight="1">
      <c r="B67" s="17"/>
      <c r="C67" s="97">
        <v>50.0</v>
      </c>
      <c r="D67" s="98">
        <v>1.0</v>
      </c>
      <c r="E67" s="90">
        <v>6.0</v>
      </c>
      <c r="F67" s="10"/>
      <c r="G67" s="84">
        <f>AVERAGE(E67:F68)</f>
        <v>6.5</v>
      </c>
      <c r="H67" s="85"/>
      <c r="I67" s="84">
        <f>(G67/10)*100</f>
        <v>65</v>
      </c>
      <c r="J67" s="85"/>
      <c r="K67" s="84">
        <f>(G67/$E$39)*100</f>
        <v>65</v>
      </c>
      <c r="L67" s="85"/>
      <c r="M67" s="84">
        <f>S29</f>
        <v>0.8070167914</v>
      </c>
      <c r="N67" s="85"/>
      <c r="O67" s="84">
        <f>(K67*M67)/100</f>
        <v>0.5245609144</v>
      </c>
      <c r="P67" s="85"/>
      <c r="Q67" s="84">
        <f>(O67-$O$39)/$O$39</f>
        <v>-0.4171545395</v>
      </c>
      <c r="R67" s="85"/>
      <c r="S67" s="84">
        <f t="array" ref="S67">INDEX($C$30:$Z$30, INT((ROW(A33)+1)/2))</f>
        <v>-0.1929832086</v>
      </c>
      <c r="T67" s="85"/>
    </row>
    <row r="68" ht="15.75" customHeight="1">
      <c r="B68" s="17"/>
      <c r="C68" s="28"/>
      <c r="D68" s="98">
        <v>2.0</v>
      </c>
      <c r="E68" s="90">
        <v>7.0</v>
      </c>
      <c r="F68" s="10"/>
      <c r="G68" s="79"/>
      <c r="H68" s="78"/>
      <c r="I68" s="79"/>
      <c r="J68" s="78"/>
      <c r="K68" s="79"/>
      <c r="L68" s="78"/>
      <c r="M68" s="79"/>
      <c r="N68" s="78"/>
      <c r="O68" s="79"/>
      <c r="P68" s="78"/>
      <c r="Q68" s="79"/>
      <c r="R68" s="78"/>
      <c r="S68" s="79"/>
      <c r="T68" s="78"/>
    </row>
    <row r="69" ht="15.75" customHeight="1">
      <c r="B69" s="17"/>
      <c r="C69" s="97">
        <v>75.0</v>
      </c>
      <c r="D69" s="98">
        <v>1.0</v>
      </c>
      <c r="E69" s="90">
        <v>3.0</v>
      </c>
      <c r="F69" s="10"/>
      <c r="G69" s="84">
        <f>AVERAGE(E69:F70)</f>
        <v>3</v>
      </c>
      <c r="H69" s="85"/>
      <c r="I69" s="84">
        <f>(G69/10)*100</f>
        <v>30</v>
      </c>
      <c r="J69" s="85"/>
      <c r="K69" s="84">
        <f>(G69/$E$39)*100</f>
        <v>30</v>
      </c>
      <c r="L69" s="85"/>
      <c r="M69" s="84">
        <f>T29</f>
        <v>0.4015890716</v>
      </c>
      <c r="N69" s="85"/>
      <c r="O69" s="84">
        <f>(K69*M69)/100</f>
        <v>0.1204767215</v>
      </c>
      <c r="P69" s="85"/>
      <c r="Q69" s="84">
        <f>(O69-$O$39)/$O$39</f>
        <v>-0.8661369761</v>
      </c>
      <c r="R69" s="85"/>
      <c r="S69" s="84">
        <f t="array" ref="S69">INDEX($C$30:$Z$30, INT((ROW(A35)+1)/2))</f>
        <v>-0.5984109284</v>
      </c>
      <c r="T69" s="85"/>
    </row>
    <row r="70" ht="15.75" customHeight="1">
      <c r="B70" s="17"/>
      <c r="C70" s="28"/>
      <c r="D70" s="98">
        <v>2.0</v>
      </c>
      <c r="E70" s="90">
        <v>3.0</v>
      </c>
      <c r="F70" s="10"/>
      <c r="G70" s="79"/>
      <c r="H70" s="78"/>
      <c r="I70" s="79"/>
      <c r="J70" s="78"/>
      <c r="K70" s="79"/>
      <c r="L70" s="78"/>
      <c r="M70" s="79"/>
      <c r="N70" s="78"/>
      <c r="O70" s="79"/>
      <c r="P70" s="78"/>
      <c r="Q70" s="79"/>
      <c r="R70" s="78"/>
      <c r="S70" s="79"/>
      <c r="T70" s="78"/>
    </row>
    <row r="71" ht="15.75" customHeight="1">
      <c r="B71" s="17"/>
      <c r="C71" s="97">
        <v>100.0</v>
      </c>
      <c r="D71" s="98">
        <v>1.0</v>
      </c>
      <c r="E71" s="90">
        <v>1.0</v>
      </c>
      <c r="F71" s="10"/>
      <c r="G71" s="84">
        <f>AVERAGE(E71:F72)</f>
        <v>1</v>
      </c>
      <c r="H71" s="85"/>
      <c r="I71" s="84">
        <f>(G71/10)*100</f>
        <v>10</v>
      </c>
      <c r="J71" s="85"/>
      <c r="K71" s="84">
        <f>(G71/$E$39)*100</f>
        <v>10</v>
      </c>
      <c r="L71" s="85"/>
      <c r="M71" s="84">
        <f>U29</f>
        <v>0.1145804293</v>
      </c>
      <c r="N71" s="85"/>
      <c r="O71" s="84">
        <f>(K71*M71)/100</f>
        <v>0.01145804293</v>
      </c>
      <c r="P71" s="85"/>
      <c r="Q71" s="84">
        <f>(O71-$O$39)/$O$39</f>
        <v>-0.9872688412</v>
      </c>
      <c r="R71" s="85"/>
      <c r="S71" s="84">
        <f t="array" ref="S71">INDEX($C$30:$Z$30, INT((ROW(A37)+1)/2))</f>
        <v>-0.8854195707</v>
      </c>
      <c r="T71" s="85"/>
    </row>
    <row r="72" ht="15.75" customHeight="1">
      <c r="B72" s="28"/>
      <c r="C72" s="28"/>
      <c r="D72" s="98">
        <v>2.0</v>
      </c>
      <c r="E72" s="91"/>
      <c r="F72" s="10"/>
      <c r="G72" s="79"/>
      <c r="H72" s="78"/>
      <c r="I72" s="79"/>
      <c r="J72" s="78"/>
      <c r="K72" s="79"/>
      <c r="L72" s="78"/>
      <c r="M72" s="79"/>
      <c r="N72" s="78"/>
      <c r="O72" s="79"/>
      <c r="P72" s="78"/>
      <c r="Q72" s="79"/>
      <c r="R72" s="78"/>
      <c r="S72" s="79"/>
      <c r="T72" s="78"/>
    </row>
    <row r="73" ht="15.75" customHeight="1">
      <c r="B73" s="99" t="s">
        <v>7</v>
      </c>
      <c r="C73" s="100">
        <v>0.0</v>
      </c>
      <c r="D73" s="101">
        <v>1.0</v>
      </c>
      <c r="E73" s="90">
        <v>8.0</v>
      </c>
      <c r="F73" s="10"/>
      <c r="G73" s="84">
        <f>AVERAGE(E73:F74)</f>
        <v>9</v>
      </c>
      <c r="H73" s="85"/>
      <c r="I73" s="84">
        <f>(G73/10)*100</f>
        <v>90</v>
      </c>
      <c r="J73" s="85"/>
      <c r="K73" s="84">
        <f>(G73/$E$39)*100</f>
        <v>90</v>
      </c>
      <c r="L73" s="85"/>
      <c r="M73" s="84">
        <f>V29</f>
        <v>1.171498931</v>
      </c>
      <c r="N73" s="85"/>
      <c r="O73" s="84">
        <f>(K73*M73)/100</f>
        <v>1.054349038</v>
      </c>
      <c r="P73" s="85"/>
      <c r="Q73" s="84">
        <f>(O73-$O$39)/$O$39</f>
        <v>0.1714989313</v>
      </c>
      <c r="R73" s="85"/>
      <c r="S73" s="84">
        <f t="array" ref="S73">INDEX($C$30:$Z$30, INT((ROW(A39)+1)/2))</f>
        <v>0.1714989313</v>
      </c>
      <c r="T73" s="85"/>
    </row>
    <row r="74" ht="15.75" customHeight="1">
      <c r="B74" s="17"/>
      <c r="C74" s="28"/>
      <c r="D74" s="101">
        <v>2.0</v>
      </c>
      <c r="E74" s="90">
        <v>10.0</v>
      </c>
      <c r="F74" s="10"/>
      <c r="G74" s="79"/>
      <c r="H74" s="78"/>
      <c r="I74" s="79"/>
      <c r="J74" s="78"/>
      <c r="K74" s="79"/>
      <c r="L74" s="78"/>
      <c r="M74" s="79"/>
      <c r="N74" s="78"/>
      <c r="O74" s="79"/>
      <c r="P74" s="78"/>
      <c r="Q74" s="79"/>
      <c r="R74" s="78"/>
      <c r="S74" s="79"/>
      <c r="T74" s="78"/>
    </row>
    <row r="75" ht="15.75" customHeight="1">
      <c r="B75" s="17"/>
      <c r="C75" s="100">
        <v>25.0</v>
      </c>
      <c r="D75" s="101">
        <v>1.0</v>
      </c>
      <c r="E75" s="90">
        <v>6.0</v>
      </c>
      <c r="F75" s="10"/>
      <c r="G75" s="84">
        <f>AVERAGE(E75:F76)</f>
        <v>8</v>
      </c>
      <c r="H75" s="85"/>
      <c r="I75" s="84">
        <f>(G75/10)*100</f>
        <v>80</v>
      </c>
      <c r="J75" s="85"/>
      <c r="K75" s="84">
        <f>(G75/$E$39)*100</f>
        <v>80</v>
      </c>
      <c r="L75" s="85"/>
      <c r="M75" s="84">
        <f>W29</f>
        <v>1.145699749</v>
      </c>
      <c r="N75" s="85"/>
      <c r="O75" s="84">
        <f>(K75*M75)/100</f>
        <v>0.9165597993</v>
      </c>
      <c r="P75" s="85"/>
      <c r="Q75" s="84">
        <f>(O75-$O$39)/$O$39</f>
        <v>0.01839977697</v>
      </c>
      <c r="R75" s="85"/>
      <c r="S75" s="84">
        <f t="array" ref="S75">INDEX($C$30:$Z$30, INT((ROW(A41)+1)/2))</f>
        <v>0.1456997491</v>
      </c>
      <c r="T75" s="85"/>
    </row>
    <row r="76" ht="15.75" customHeight="1">
      <c r="B76" s="17"/>
      <c r="C76" s="28"/>
      <c r="D76" s="101">
        <v>2.0</v>
      </c>
      <c r="E76" s="90">
        <v>10.0</v>
      </c>
      <c r="F76" s="10"/>
      <c r="G76" s="79"/>
      <c r="H76" s="78"/>
      <c r="I76" s="79"/>
      <c r="J76" s="78"/>
      <c r="K76" s="79"/>
      <c r="L76" s="78"/>
      <c r="M76" s="79"/>
      <c r="N76" s="78"/>
      <c r="O76" s="79"/>
      <c r="P76" s="78"/>
      <c r="Q76" s="79"/>
      <c r="R76" s="78"/>
      <c r="S76" s="79"/>
      <c r="T76" s="78"/>
    </row>
    <row r="77" ht="15.75" customHeight="1">
      <c r="B77" s="17"/>
      <c r="C77" s="100">
        <v>50.0</v>
      </c>
      <c r="D77" s="101">
        <v>1.0</v>
      </c>
      <c r="E77" s="90">
        <v>8.0</v>
      </c>
      <c r="F77" s="10"/>
      <c r="G77" s="84">
        <f>AVERAGE(E77:F78)</f>
        <v>6.5</v>
      </c>
      <c r="H77" s="85"/>
      <c r="I77" s="84">
        <f>(G77/10)*100</f>
        <v>65</v>
      </c>
      <c r="J77" s="85"/>
      <c r="K77" s="84">
        <f>(G77/$E$39)*100</f>
        <v>65</v>
      </c>
      <c r="L77" s="85"/>
      <c r="M77" s="84">
        <f>X29</f>
        <v>0.6720422037</v>
      </c>
      <c r="N77" s="85"/>
      <c r="O77" s="84">
        <f>(K77*M77)/100</f>
        <v>0.4368274324</v>
      </c>
      <c r="P77" s="85"/>
      <c r="Q77" s="84">
        <f>(O77-$O$39)/$O$39</f>
        <v>-0.5146361862</v>
      </c>
      <c r="R77" s="85"/>
      <c r="S77" s="84">
        <f t="array" ref="S77">INDEX($C$30:$Z$30, INT((ROW(A43)+1)/2))</f>
        <v>-0.3279577963</v>
      </c>
      <c r="T77" s="85"/>
    </row>
    <row r="78" ht="15.75" customHeight="1">
      <c r="B78" s="17"/>
      <c r="C78" s="28"/>
      <c r="D78" s="101">
        <v>2.0</v>
      </c>
      <c r="E78" s="90">
        <v>5.0</v>
      </c>
      <c r="F78" s="10"/>
      <c r="G78" s="79"/>
      <c r="H78" s="78"/>
      <c r="I78" s="79"/>
      <c r="J78" s="78"/>
      <c r="K78" s="79"/>
      <c r="L78" s="78"/>
      <c r="M78" s="79"/>
      <c r="N78" s="78"/>
      <c r="O78" s="79"/>
      <c r="P78" s="78"/>
      <c r="Q78" s="79"/>
      <c r="R78" s="78"/>
      <c r="S78" s="79"/>
      <c r="T78" s="78"/>
    </row>
    <row r="79" ht="15.75" customHeight="1">
      <c r="B79" s="17"/>
      <c r="C79" s="100">
        <v>75.0</v>
      </c>
      <c r="D79" s="101">
        <v>1.0</v>
      </c>
      <c r="E79" s="90">
        <v>1.0</v>
      </c>
      <c r="F79" s="10"/>
      <c r="G79" s="84">
        <f>AVERAGE(E79:F80)</f>
        <v>2</v>
      </c>
      <c r="H79" s="85"/>
      <c r="I79" s="84">
        <f>(G79/10)*100</f>
        <v>20</v>
      </c>
      <c r="J79" s="85"/>
      <c r="K79" s="84">
        <f>(G79/$E$39)*100</f>
        <v>20</v>
      </c>
      <c r="L79" s="85"/>
      <c r="M79" s="84">
        <f>Y29</f>
        <v>0.3393504321</v>
      </c>
      <c r="N79" s="85"/>
      <c r="O79" s="84">
        <f>(K79*M79)/100</f>
        <v>0.06787008642</v>
      </c>
      <c r="P79" s="85"/>
      <c r="Q79" s="84">
        <f>(O79-$O$39)/$O$39</f>
        <v>-0.9245887929</v>
      </c>
      <c r="R79" s="85"/>
      <c r="S79" s="84">
        <f t="array" ref="S79">INDEX($C$30:$Z$30, INT((ROW(A45)+1)/2))</f>
        <v>-0.6606495679</v>
      </c>
      <c r="T79" s="85"/>
    </row>
    <row r="80" ht="15.75" customHeight="1">
      <c r="B80" s="17"/>
      <c r="C80" s="28"/>
      <c r="D80" s="101">
        <v>2.0</v>
      </c>
      <c r="E80" s="90">
        <v>3.0</v>
      </c>
      <c r="F80" s="10"/>
      <c r="G80" s="79"/>
      <c r="H80" s="78"/>
      <c r="I80" s="79"/>
      <c r="J80" s="78"/>
      <c r="K80" s="79"/>
      <c r="L80" s="78"/>
      <c r="M80" s="79"/>
      <c r="N80" s="78"/>
      <c r="O80" s="79"/>
      <c r="P80" s="78"/>
      <c r="Q80" s="79"/>
      <c r="R80" s="78"/>
      <c r="S80" s="79"/>
      <c r="T80" s="78"/>
    </row>
    <row r="81" ht="15.75" customHeight="1">
      <c r="B81" s="17"/>
      <c r="C81" s="100">
        <v>100.0</v>
      </c>
      <c r="D81" s="101">
        <v>1.0</v>
      </c>
      <c r="E81" s="90">
        <v>1.0</v>
      </c>
      <c r="F81" s="10"/>
      <c r="G81" s="84">
        <f>AVERAGE(E81:F82)</f>
        <v>1</v>
      </c>
      <c r="H81" s="85"/>
      <c r="I81" s="84">
        <f>(G81/10)*100</f>
        <v>10</v>
      </c>
      <c r="J81" s="85"/>
      <c r="K81" s="84">
        <f>(G81/$E$39)*100</f>
        <v>10</v>
      </c>
      <c r="L81" s="85"/>
      <c r="M81" s="84">
        <f>Z29</f>
        <v>0.3332868693</v>
      </c>
      <c r="N81" s="85"/>
      <c r="O81" s="84">
        <f>(K81*M81)/100</f>
        <v>0.03332868693</v>
      </c>
      <c r="P81" s="85"/>
      <c r="Q81" s="84">
        <f>(O81-$O$39)/$O$39</f>
        <v>-0.9629681256</v>
      </c>
      <c r="R81" s="85"/>
      <c r="S81" s="84">
        <f t="array" ref="S81">INDEX($C$30:$Z$30, INT((ROW(A47)+1)/2))</f>
        <v>-0.6667131307</v>
      </c>
      <c r="T81" s="85"/>
    </row>
    <row r="82" ht="15.75" customHeight="1">
      <c r="B82" s="28"/>
      <c r="C82" s="28"/>
      <c r="D82" s="101">
        <v>2.0</v>
      </c>
      <c r="E82" s="90">
        <v>1.0</v>
      </c>
      <c r="F82" s="10"/>
      <c r="G82" s="79"/>
      <c r="H82" s="78"/>
      <c r="I82" s="79"/>
      <c r="J82" s="78"/>
      <c r="K82" s="79"/>
      <c r="L82" s="78"/>
      <c r="M82" s="79"/>
      <c r="N82" s="78"/>
      <c r="O82" s="79"/>
      <c r="P82" s="78"/>
      <c r="Q82" s="79"/>
      <c r="R82" s="78"/>
      <c r="S82" s="79"/>
      <c r="T82" s="78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102"/>
      <c r="I1" s="1"/>
      <c r="J1" s="1"/>
    </row>
    <row r="2" ht="15.75" customHeight="1">
      <c r="A2" s="1"/>
      <c r="B2" s="71" t="s">
        <v>20</v>
      </c>
      <c r="C2" s="71" t="s">
        <v>21</v>
      </c>
      <c r="D2" s="71" t="s">
        <v>28</v>
      </c>
      <c r="E2" s="71" t="s">
        <v>24</v>
      </c>
      <c r="F2" s="71" t="s">
        <v>25</v>
      </c>
      <c r="G2" s="71" t="s">
        <v>26</v>
      </c>
      <c r="H2" s="71" t="s">
        <v>17</v>
      </c>
      <c r="I2" s="71" t="s">
        <v>27</v>
      </c>
      <c r="J2" s="71" t="s">
        <v>18</v>
      </c>
      <c r="L2" s="103" t="s">
        <v>29</v>
      </c>
      <c r="M2" s="104" t="s">
        <v>30</v>
      </c>
      <c r="O2" s="105"/>
      <c r="P2" s="105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106" t="s">
        <v>31</v>
      </c>
      <c r="M3" s="107" t="s">
        <v>32</v>
      </c>
    </row>
    <row r="4" ht="15.75" customHeight="1">
      <c r="A4" s="108"/>
      <c r="B4" s="109" t="s">
        <v>4</v>
      </c>
      <c r="C4" s="110">
        <v>0.0</v>
      </c>
      <c r="D4" s="111">
        <f t="shared" ref="D4:D23" si="1">INDIRECT("'Dia 7'!G" &amp; (43 + (ROW(A1) - 1) * 2))</f>
        <v>7</v>
      </c>
      <c r="E4" s="111">
        <f t="shared" ref="E4:E23" si="2">INDIRECT("'Dia 7'!I" &amp; 43 + (ROW(A1)-1)*2)</f>
        <v>70</v>
      </c>
      <c r="F4" s="111">
        <f t="shared" ref="F4:F23" si="3">INDIRECT("'Dia 7'!K" &amp; 43 + (ROW(A1)-1)*2)</f>
        <v>70</v>
      </c>
      <c r="G4" s="111">
        <f t="shared" ref="G4:G23" si="4">INDIRECT("'Dia 7'!O" &amp; 43 + (ROW(A1)-1)*2)</f>
        <v>0.7533872317</v>
      </c>
      <c r="H4" s="111">
        <f t="shared" ref="H4:H23" si="5">INDIRECT("'Dia 7'!M" &amp; 43 + (ROW(A1)-1)*2)</f>
        <v>1.076267474</v>
      </c>
      <c r="I4" s="111">
        <f t="shared" ref="I4:I23" si="6">INDIRECT("'Dia 7'!Q" &amp; 43 + (ROW(A1)-1)*2)</f>
        <v>-0.1629030759</v>
      </c>
      <c r="J4" s="111">
        <f t="shared" ref="J4:J23" si="7">INDIRECT("'Dia 7'!S" &amp; 43 + (ROW(A1)-1)*2)</f>
        <v>0.07626747381</v>
      </c>
      <c r="K4" s="112"/>
      <c r="L4" s="113" t="s">
        <v>33</v>
      </c>
      <c r="M4" s="114" t="s">
        <v>34</v>
      </c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</row>
    <row r="5" ht="15.75" customHeight="1">
      <c r="A5" s="108"/>
      <c r="B5" s="17"/>
      <c r="C5" s="110">
        <v>25.0</v>
      </c>
      <c r="D5" s="111">
        <f t="shared" si="1"/>
        <v>8</v>
      </c>
      <c r="E5" s="111">
        <f t="shared" si="2"/>
        <v>80</v>
      </c>
      <c r="F5" s="111">
        <f t="shared" si="3"/>
        <v>80</v>
      </c>
      <c r="G5" s="111">
        <f t="shared" si="4"/>
        <v>0.9262196822</v>
      </c>
      <c r="H5" s="111">
        <f t="shared" si="5"/>
        <v>1.157774603</v>
      </c>
      <c r="I5" s="111">
        <f t="shared" si="6"/>
        <v>0.02913298021</v>
      </c>
      <c r="J5" s="111">
        <f t="shared" si="7"/>
        <v>0.1577746027</v>
      </c>
      <c r="K5" s="112"/>
      <c r="L5" s="115" t="s">
        <v>35</v>
      </c>
      <c r="M5" s="116" t="s">
        <v>36</v>
      </c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ht="15.75" customHeight="1">
      <c r="A6" s="108"/>
      <c r="B6" s="17"/>
      <c r="C6" s="110">
        <v>50.0</v>
      </c>
      <c r="D6" s="111">
        <f t="shared" si="1"/>
        <v>8</v>
      </c>
      <c r="E6" s="111">
        <f t="shared" si="2"/>
        <v>80</v>
      </c>
      <c r="F6" s="111">
        <f t="shared" si="3"/>
        <v>80</v>
      </c>
      <c r="G6" s="111">
        <f t="shared" si="4"/>
        <v>0.6663646501</v>
      </c>
      <c r="H6" s="111">
        <f t="shared" si="5"/>
        <v>0.8329558127</v>
      </c>
      <c r="I6" s="111">
        <f t="shared" si="6"/>
        <v>-0.2595948332</v>
      </c>
      <c r="J6" s="111">
        <f t="shared" si="7"/>
        <v>-0.1670441873</v>
      </c>
      <c r="K6" s="112"/>
      <c r="L6" s="115" t="s">
        <v>37</v>
      </c>
      <c r="M6" s="117" t="s">
        <v>38</v>
      </c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ht="15.75" customHeight="1">
      <c r="A7" s="108"/>
      <c r="B7" s="17"/>
      <c r="C7" s="110">
        <v>75.0</v>
      </c>
      <c r="D7" s="111">
        <f t="shared" si="1"/>
        <v>6.5</v>
      </c>
      <c r="E7" s="111">
        <f t="shared" si="2"/>
        <v>65</v>
      </c>
      <c r="F7" s="111">
        <f t="shared" si="3"/>
        <v>65</v>
      </c>
      <c r="G7" s="111">
        <f t="shared" si="4"/>
        <v>0.3259687761</v>
      </c>
      <c r="H7" s="111">
        <f t="shared" si="5"/>
        <v>0.5014904248</v>
      </c>
      <c r="I7" s="111">
        <f t="shared" si="6"/>
        <v>-0.637812471</v>
      </c>
      <c r="J7" s="111">
        <f t="shared" si="7"/>
        <v>-0.4985095752</v>
      </c>
      <c r="K7" s="112"/>
      <c r="L7" s="118"/>
      <c r="M7" s="118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ht="15.75" customHeight="1">
      <c r="A8" s="108">
        <v>100.0</v>
      </c>
      <c r="B8" s="28"/>
      <c r="C8" s="110">
        <v>100.0</v>
      </c>
      <c r="D8" s="111">
        <f t="shared" si="1"/>
        <v>2.5</v>
      </c>
      <c r="E8" s="111">
        <f t="shared" si="2"/>
        <v>25</v>
      </c>
      <c r="F8" s="111">
        <f t="shared" si="3"/>
        <v>25</v>
      </c>
      <c r="G8" s="111">
        <f t="shared" si="4"/>
        <v>0.07631725676</v>
      </c>
      <c r="H8" s="111">
        <f t="shared" si="5"/>
        <v>0.305269027</v>
      </c>
      <c r="I8" s="111">
        <f t="shared" si="6"/>
        <v>-0.915203048</v>
      </c>
      <c r="J8" s="111">
        <f t="shared" si="7"/>
        <v>-0.694730973</v>
      </c>
      <c r="K8" s="112"/>
      <c r="L8" s="119" t="s">
        <v>39</v>
      </c>
      <c r="M8" s="120" t="s">
        <v>40</v>
      </c>
      <c r="N8" s="7"/>
      <c r="O8" s="10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ht="15.75" customHeight="1">
      <c r="A9" s="108"/>
      <c r="B9" s="121" t="s">
        <v>5</v>
      </c>
      <c r="C9" s="122">
        <v>0.0</v>
      </c>
      <c r="D9" s="111">
        <f t="shared" si="1"/>
        <v>6</v>
      </c>
      <c r="E9" s="111">
        <f t="shared" si="2"/>
        <v>60</v>
      </c>
      <c r="F9" s="111">
        <f t="shared" si="3"/>
        <v>60</v>
      </c>
      <c r="G9" s="111">
        <f t="shared" si="4"/>
        <v>0.6484666853</v>
      </c>
      <c r="H9" s="111">
        <f t="shared" si="5"/>
        <v>1.080777809</v>
      </c>
      <c r="I9" s="111">
        <f t="shared" si="6"/>
        <v>-0.2794814608</v>
      </c>
      <c r="J9" s="111">
        <f t="shared" si="7"/>
        <v>0.08077780875</v>
      </c>
      <c r="K9" s="112"/>
      <c r="L9" s="119" t="s">
        <v>41</v>
      </c>
      <c r="M9" s="120" t="s">
        <v>42</v>
      </c>
      <c r="N9" s="7"/>
      <c r="O9" s="10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ht="15.75" customHeight="1">
      <c r="A10" s="108"/>
      <c r="B10" s="17"/>
      <c r="C10" s="122">
        <v>25.0</v>
      </c>
      <c r="D10" s="111">
        <f t="shared" si="1"/>
        <v>8</v>
      </c>
      <c r="E10" s="111">
        <f t="shared" si="2"/>
        <v>80</v>
      </c>
      <c r="F10" s="111">
        <f t="shared" si="3"/>
        <v>80</v>
      </c>
      <c r="G10" s="111">
        <f t="shared" si="4"/>
        <v>0.8703930861</v>
      </c>
      <c r="H10" s="111">
        <f t="shared" si="5"/>
        <v>1.087991358</v>
      </c>
      <c r="I10" s="111">
        <f t="shared" si="6"/>
        <v>-0.03289657095</v>
      </c>
      <c r="J10" s="111">
        <f t="shared" si="7"/>
        <v>0.08799135768</v>
      </c>
      <c r="K10" s="112"/>
      <c r="L10" s="119" t="s">
        <v>43</v>
      </c>
      <c r="M10" s="120" t="s">
        <v>44</v>
      </c>
      <c r="N10" s="7"/>
      <c r="O10" s="10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ht="15.75" customHeight="1">
      <c r="B11" s="17"/>
      <c r="C11" s="122">
        <v>50.0</v>
      </c>
      <c r="D11" s="111">
        <f t="shared" si="1"/>
        <v>7.5</v>
      </c>
      <c r="E11" s="111">
        <f t="shared" si="2"/>
        <v>75</v>
      </c>
      <c r="F11" s="111">
        <f t="shared" si="3"/>
        <v>75</v>
      </c>
      <c r="G11" s="111">
        <f t="shared" si="4"/>
        <v>0.4933231112</v>
      </c>
      <c r="H11" s="111">
        <f t="shared" si="5"/>
        <v>0.6577641483</v>
      </c>
      <c r="I11" s="111">
        <f t="shared" si="6"/>
        <v>-0.4518632097</v>
      </c>
      <c r="J11" s="111">
        <f t="shared" si="7"/>
        <v>-0.3422358517</v>
      </c>
      <c r="L11" s="119" t="s">
        <v>45</v>
      </c>
      <c r="M11" s="120" t="s">
        <v>46</v>
      </c>
      <c r="N11" s="7"/>
      <c r="O11" s="10"/>
    </row>
    <row r="12" ht="15.75" customHeight="1">
      <c r="B12" s="17"/>
      <c r="C12" s="122">
        <v>75.0</v>
      </c>
      <c r="D12" s="111">
        <f t="shared" si="1"/>
        <v>2</v>
      </c>
      <c r="E12" s="111">
        <f t="shared" si="2"/>
        <v>20</v>
      </c>
      <c r="F12" s="111">
        <f t="shared" si="3"/>
        <v>20</v>
      </c>
      <c r="G12" s="111">
        <f t="shared" si="4"/>
        <v>0.09806244773</v>
      </c>
      <c r="H12" s="111">
        <f t="shared" si="5"/>
        <v>0.4903122386</v>
      </c>
      <c r="I12" s="111">
        <f t="shared" si="6"/>
        <v>-0.8910417247</v>
      </c>
      <c r="J12" s="111">
        <f t="shared" si="7"/>
        <v>-0.5096877614</v>
      </c>
      <c r="L12" s="119" t="s">
        <v>47</v>
      </c>
      <c r="M12" s="120" t="s">
        <v>48</v>
      </c>
      <c r="N12" s="7"/>
      <c r="O12" s="10"/>
    </row>
    <row r="13" ht="15.75" customHeight="1">
      <c r="B13" s="28"/>
      <c r="C13" s="122">
        <v>100.0</v>
      </c>
      <c r="D13" s="111">
        <f t="shared" si="1"/>
        <v>2</v>
      </c>
      <c r="E13" s="111">
        <f t="shared" si="2"/>
        <v>20</v>
      </c>
      <c r="F13" s="111">
        <f t="shared" si="3"/>
        <v>20</v>
      </c>
      <c r="G13" s="111">
        <f t="shared" si="4"/>
        <v>0.05892110399</v>
      </c>
      <c r="H13" s="111">
        <f t="shared" si="5"/>
        <v>0.2946055199</v>
      </c>
      <c r="I13" s="111">
        <f t="shared" si="6"/>
        <v>-0.9345321067</v>
      </c>
      <c r="J13" s="111">
        <f t="shared" si="7"/>
        <v>-0.7053944801</v>
      </c>
      <c r="L13" s="119" t="s">
        <v>49</v>
      </c>
      <c r="M13" s="120" t="s">
        <v>50</v>
      </c>
      <c r="N13" s="7"/>
      <c r="O13" s="10"/>
    </row>
    <row r="14" ht="15.75" customHeight="1">
      <c r="B14" s="123" t="s">
        <v>6</v>
      </c>
      <c r="C14" s="124">
        <v>0.0</v>
      </c>
      <c r="D14" s="111">
        <f t="shared" si="1"/>
        <v>6.5</v>
      </c>
      <c r="E14" s="111">
        <f t="shared" si="2"/>
        <v>65</v>
      </c>
      <c r="F14" s="111">
        <f t="shared" si="3"/>
        <v>65</v>
      </c>
      <c r="G14" s="111">
        <f t="shared" si="4"/>
        <v>0.67230276</v>
      </c>
      <c r="H14" s="111">
        <f t="shared" si="5"/>
        <v>1.034311938</v>
      </c>
      <c r="I14" s="111">
        <f t="shared" si="6"/>
        <v>-0.2529969334</v>
      </c>
      <c r="J14" s="111">
        <f t="shared" si="7"/>
        <v>0.03431193841</v>
      </c>
      <c r="K14" s="125"/>
      <c r="L14" s="112"/>
    </row>
    <row r="15" ht="15.75" customHeight="1">
      <c r="B15" s="17"/>
      <c r="C15" s="124">
        <v>25.0</v>
      </c>
      <c r="D15" s="111">
        <f t="shared" si="1"/>
        <v>7.5</v>
      </c>
      <c r="E15" s="111">
        <f t="shared" si="2"/>
        <v>75</v>
      </c>
      <c r="F15" s="111">
        <f t="shared" si="3"/>
        <v>75</v>
      </c>
      <c r="G15" s="111">
        <f t="shared" si="4"/>
        <v>0.7586980764</v>
      </c>
      <c r="H15" s="111">
        <f t="shared" si="5"/>
        <v>1.011597435</v>
      </c>
      <c r="I15" s="137">
        <f t="shared" si="6"/>
        <v>-0.1570021373</v>
      </c>
      <c r="J15" s="137">
        <f t="shared" si="7"/>
        <v>0.01159743518</v>
      </c>
      <c r="K15" s="125"/>
      <c r="L15" s="112"/>
    </row>
    <row r="16" ht="15.75" customHeight="1">
      <c r="B16" s="17"/>
      <c r="C16" s="124">
        <v>50.0</v>
      </c>
      <c r="D16" s="111">
        <f t="shared" si="1"/>
        <v>6.5</v>
      </c>
      <c r="E16" s="111">
        <f t="shared" si="2"/>
        <v>65</v>
      </c>
      <c r="F16" s="111">
        <f t="shared" si="3"/>
        <v>65</v>
      </c>
      <c r="G16" s="111">
        <f t="shared" si="4"/>
        <v>0.5245609144</v>
      </c>
      <c r="H16" s="111">
        <f t="shared" si="5"/>
        <v>0.8070167914</v>
      </c>
      <c r="I16" s="111">
        <f t="shared" si="6"/>
        <v>-0.4171545395</v>
      </c>
      <c r="J16" s="111">
        <f t="shared" si="7"/>
        <v>-0.1929832086</v>
      </c>
      <c r="K16" s="125"/>
      <c r="L16" s="112"/>
    </row>
    <row r="17" ht="15.75" customHeight="1">
      <c r="B17" s="17"/>
      <c r="C17" s="124">
        <v>75.0</v>
      </c>
      <c r="D17" s="111">
        <f t="shared" si="1"/>
        <v>3</v>
      </c>
      <c r="E17" s="111">
        <f t="shared" si="2"/>
        <v>30</v>
      </c>
      <c r="F17" s="111">
        <f t="shared" si="3"/>
        <v>30</v>
      </c>
      <c r="G17" s="111">
        <f t="shared" si="4"/>
        <v>0.1204767215</v>
      </c>
      <c r="H17" s="111">
        <f t="shared" si="5"/>
        <v>0.4015890716</v>
      </c>
      <c r="I17" s="111">
        <f t="shared" si="6"/>
        <v>-0.8661369761</v>
      </c>
      <c r="J17" s="111">
        <f t="shared" si="7"/>
        <v>-0.5984109284</v>
      </c>
      <c r="K17" s="125"/>
      <c r="L17" s="112"/>
    </row>
    <row r="18" ht="15.75" customHeight="1">
      <c r="B18" s="28"/>
      <c r="C18" s="124">
        <v>100.0</v>
      </c>
      <c r="D18" s="111">
        <f t="shared" si="1"/>
        <v>1</v>
      </c>
      <c r="E18" s="111">
        <f t="shared" si="2"/>
        <v>10</v>
      </c>
      <c r="F18" s="111">
        <f t="shared" si="3"/>
        <v>10</v>
      </c>
      <c r="G18" s="111">
        <f t="shared" si="4"/>
        <v>0.01145804293</v>
      </c>
      <c r="H18" s="111">
        <f t="shared" si="5"/>
        <v>0.1145804293</v>
      </c>
      <c r="I18" s="111">
        <f t="shared" si="6"/>
        <v>-0.9872688412</v>
      </c>
      <c r="J18" s="111">
        <f t="shared" si="7"/>
        <v>-0.8854195707</v>
      </c>
      <c r="K18" s="125"/>
      <c r="L18" s="112"/>
    </row>
    <row r="19" ht="15.75" customHeight="1">
      <c r="B19" s="126" t="s">
        <v>7</v>
      </c>
      <c r="C19" s="127">
        <v>0.0</v>
      </c>
      <c r="D19" s="111">
        <f t="shared" si="1"/>
        <v>9</v>
      </c>
      <c r="E19" s="111">
        <f t="shared" si="2"/>
        <v>90</v>
      </c>
      <c r="F19" s="111">
        <f t="shared" si="3"/>
        <v>90</v>
      </c>
      <c r="G19" s="111">
        <f t="shared" si="4"/>
        <v>1.054349038</v>
      </c>
      <c r="H19" s="111">
        <f t="shared" si="5"/>
        <v>1.171498931</v>
      </c>
      <c r="I19" s="111">
        <f t="shared" si="6"/>
        <v>0.1714989313</v>
      </c>
      <c r="J19" s="111">
        <f t="shared" si="7"/>
        <v>0.1714989313</v>
      </c>
      <c r="K19" s="125"/>
      <c r="L19" s="112"/>
    </row>
    <row r="20" ht="15.75" customHeight="1">
      <c r="B20" s="17"/>
      <c r="C20" s="127">
        <v>25.0</v>
      </c>
      <c r="D20" s="111">
        <f t="shared" si="1"/>
        <v>8</v>
      </c>
      <c r="E20" s="111">
        <f t="shared" si="2"/>
        <v>80</v>
      </c>
      <c r="F20" s="111">
        <f t="shared" si="3"/>
        <v>80</v>
      </c>
      <c r="G20" s="111">
        <f t="shared" si="4"/>
        <v>0.9165597993</v>
      </c>
      <c r="H20" s="111">
        <f t="shared" si="5"/>
        <v>1.145699749</v>
      </c>
      <c r="I20" s="111">
        <f t="shared" si="6"/>
        <v>0.01839977697</v>
      </c>
      <c r="J20" s="111">
        <f t="shared" si="7"/>
        <v>0.1456997491</v>
      </c>
      <c r="K20" s="125"/>
      <c r="L20" s="112"/>
    </row>
    <row r="21" ht="15.75" customHeight="1">
      <c r="B21" s="17"/>
      <c r="C21" s="127">
        <v>50.0</v>
      </c>
      <c r="D21" s="111">
        <f t="shared" si="1"/>
        <v>6.5</v>
      </c>
      <c r="E21" s="111">
        <f t="shared" si="2"/>
        <v>65</v>
      </c>
      <c r="F21" s="111">
        <f t="shared" si="3"/>
        <v>65</v>
      </c>
      <c r="G21" s="111">
        <f t="shared" si="4"/>
        <v>0.4368274324</v>
      </c>
      <c r="H21" s="111">
        <f t="shared" si="5"/>
        <v>0.6720422037</v>
      </c>
      <c r="I21" s="138">
        <f t="shared" si="6"/>
        <v>-0.5146361862</v>
      </c>
      <c r="J21" s="111">
        <f t="shared" si="7"/>
        <v>-0.3279577963</v>
      </c>
    </row>
    <row r="22" ht="15.75" customHeight="1">
      <c r="B22" s="17"/>
      <c r="C22" s="127">
        <v>75.0</v>
      </c>
      <c r="D22" s="111">
        <f t="shared" si="1"/>
        <v>2</v>
      </c>
      <c r="E22" s="111">
        <f t="shared" si="2"/>
        <v>20</v>
      </c>
      <c r="F22" s="111">
        <f t="shared" si="3"/>
        <v>20</v>
      </c>
      <c r="G22" s="111">
        <f t="shared" si="4"/>
        <v>0.06787008642</v>
      </c>
      <c r="H22" s="111">
        <f t="shared" si="5"/>
        <v>0.3393504321</v>
      </c>
      <c r="I22" s="111">
        <f t="shared" si="6"/>
        <v>-0.9245887929</v>
      </c>
      <c r="J22" s="111">
        <f t="shared" si="7"/>
        <v>-0.6606495679</v>
      </c>
    </row>
    <row r="23" ht="15.75" customHeight="1">
      <c r="B23" s="28"/>
      <c r="C23" s="127">
        <v>100.0</v>
      </c>
      <c r="D23" s="111">
        <f t="shared" si="1"/>
        <v>1</v>
      </c>
      <c r="E23" s="111">
        <f t="shared" si="2"/>
        <v>10</v>
      </c>
      <c r="F23" s="111">
        <f t="shared" si="3"/>
        <v>10</v>
      </c>
      <c r="G23" s="111">
        <f t="shared" si="4"/>
        <v>0.03332868693</v>
      </c>
      <c r="H23" s="111">
        <f t="shared" si="5"/>
        <v>0.3332868693</v>
      </c>
      <c r="I23" s="111">
        <f t="shared" si="6"/>
        <v>-0.9629681256</v>
      </c>
      <c r="J23" s="111">
        <f t="shared" si="7"/>
        <v>-0.6667131307</v>
      </c>
    </row>
    <row r="24" ht="15.75" customHeight="1">
      <c r="B24" s="128" t="s">
        <v>51</v>
      </c>
      <c r="C24" s="10"/>
      <c r="D24" s="111">
        <f>'Dia 7'!G39</f>
        <v>9</v>
      </c>
      <c r="E24" s="111">
        <f>'Dia 7'!I39</f>
        <v>90</v>
      </c>
      <c r="F24" s="111">
        <f>'Dia 7'!K39</f>
        <v>90</v>
      </c>
      <c r="G24" s="111">
        <f>'Dia 7'!O39</f>
        <v>0.9</v>
      </c>
      <c r="H24" s="111">
        <f>'Dia 7'!M39</f>
        <v>1</v>
      </c>
      <c r="I24" s="139">
        <f>'Dia 7'!Q39</f>
        <v>0</v>
      </c>
      <c r="J24" s="139">
        <f>'Dia 7'!S39</f>
        <v>0</v>
      </c>
    </row>
    <row r="25" ht="15.75" customHeight="1">
      <c r="B25" s="128" t="s">
        <v>11</v>
      </c>
      <c r="C25" s="10"/>
      <c r="D25" s="111">
        <f>'Dia 7'!G41</f>
        <v>6</v>
      </c>
      <c r="E25" s="111">
        <f>'Dia 7'!I41</f>
        <v>60</v>
      </c>
      <c r="F25" s="111">
        <f>'Dia 7'!K41</f>
        <v>60</v>
      </c>
      <c r="G25" s="111">
        <f>'Dia 7'!O41</f>
        <v>0.1528017842</v>
      </c>
      <c r="H25" s="111">
        <f>'Dia 7'!M41</f>
        <v>0.2546696404</v>
      </c>
      <c r="I25" s="130">
        <f>'Dia 7'!Q41</f>
        <v>-0.8302202398</v>
      </c>
      <c r="J25" s="130">
        <f>'Dia 7'!S41</f>
        <v>-0.7453303596</v>
      </c>
    </row>
    <row r="26" ht="15.75" customHeight="1">
      <c r="B26" s="131"/>
      <c r="H26" s="132"/>
    </row>
    <row r="27" ht="15.75" customHeight="1">
      <c r="B27" s="131"/>
      <c r="H27" s="132"/>
    </row>
    <row r="28" ht="15.75" customHeight="1">
      <c r="H28" s="132"/>
    </row>
    <row r="29" ht="15.75" customHeight="1">
      <c r="H29" s="132"/>
    </row>
    <row r="30" ht="15.75" customHeight="1">
      <c r="H30" s="132"/>
    </row>
    <row r="31" ht="15.75" customHeight="1">
      <c r="H31" s="132"/>
    </row>
    <row r="32" ht="15.75" customHeight="1">
      <c r="H32" s="132"/>
    </row>
    <row r="33" ht="15.75" customHeight="1">
      <c r="H33" s="132"/>
    </row>
    <row r="34" ht="15.75" customHeight="1">
      <c r="H34" s="132"/>
    </row>
    <row r="35" ht="15.75" customHeight="1">
      <c r="H35" s="132"/>
    </row>
    <row r="36" ht="15.75" customHeight="1">
      <c r="H36" s="132"/>
    </row>
    <row r="37" ht="15.75" customHeight="1">
      <c r="H37" s="132"/>
    </row>
    <row r="38" ht="15.75" customHeight="1">
      <c r="H38" s="132"/>
    </row>
    <row r="39" ht="15.75" customHeight="1">
      <c r="H39" s="132"/>
    </row>
    <row r="40" ht="15.75" customHeight="1">
      <c r="H40" s="132"/>
    </row>
    <row r="41" ht="15.75" customHeight="1">
      <c r="H41" s="132"/>
    </row>
    <row r="42" ht="15.75" customHeight="1">
      <c r="H42" s="132"/>
    </row>
    <row r="43" ht="15.75" customHeight="1">
      <c r="H43" s="132"/>
    </row>
    <row r="44" ht="15.75" customHeight="1">
      <c r="H44" s="132"/>
    </row>
    <row r="45" ht="15.75" customHeight="1">
      <c r="H45" s="132"/>
    </row>
    <row r="46" ht="15.75" customHeight="1">
      <c r="H46" s="132"/>
    </row>
    <row r="47" ht="15.75" customHeight="1">
      <c r="H47" s="132"/>
    </row>
    <row r="48" ht="15.75" customHeight="1">
      <c r="H48" s="132"/>
    </row>
    <row r="49" ht="15.75" customHeight="1">
      <c r="H49" s="132"/>
    </row>
    <row r="50" ht="15.75" customHeight="1">
      <c r="H50" s="132"/>
    </row>
    <row r="51" ht="15.75" customHeight="1">
      <c r="H51" s="132"/>
    </row>
    <row r="52" ht="15.75" customHeight="1">
      <c r="H52" s="132"/>
    </row>
    <row r="53" ht="15.75" customHeight="1">
      <c r="H53" s="132"/>
    </row>
    <row r="54" ht="15.75" customHeight="1">
      <c r="H54" s="132"/>
    </row>
    <row r="55" ht="15.75" customHeight="1">
      <c r="H55" s="132"/>
    </row>
    <row r="56" ht="15.75" customHeight="1">
      <c r="H56" s="132"/>
    </row>
    <row r="57" ht="15.75" customHeight="1">
      <c r="H57" s="132"/>
    </row>
    <row r="58" ht="15.75" customHeight="1">
      <c r="H58" s="132"/>
    </row>
    <row r="59" ht="15.75" customHeight="1">
      <c r="H59" s="132"/>
    </row>
    <row r="60" ht="15.75" customHeight="1">
      <c r="H60" s="132"/>
    </row>
    <row r="61" ht="15.75" customHeight="1">
      <c r="H61" s="132"/>
    </row>
    <row r="62" ht="15.75" customHeight="1">
      <c r="H62" s="132"/>
    </row>
    <row r="63" ht="15.75" customHeight="1">
      <c r="H63" s="132"/>
    </row>
    <row r="64" ht="15.75" customHeight="1">
      <c r="H64" s="132"/>
    </row>
    <row r="65" ht="15.75" customHeight="1">
      <c r="H65" s="132"/>
    </row>
    <row r="66" ht="15.75" customHeight="1">
      <c r="H66" s="132"/>
    </row>
    <row r="67" ht="15.75" customHeight="1">
      <c r="H67" s="132"/>
    </row>
    <row r="68" ht="15.75" customHeight="1">
      <c r="H68" s="132"/>
    </row>
    <row r="69" ht="15.75" customHeight="1">
      <c r="H69" s="132"/>
    </row>
    <row r="70" ht="15.75" customHeight="1">
      <c r="H70" s="132"/>
    </row>
    <row r="71" ht="15.75" customHeight="1">
      <c r="H71" s="132"/>
    </row>
    <row r="72" ht="15.75" customHeight="1">
      <c r="H72" s="132"/>
    </row>
    <row r="73" ht="15.75" customHeight="1">
      <c r="H73" s="132"/>
    </row>
    <row r="74" ht="15.75" customHeight="1">
      <c r="H74" s="132"/>
    </row>
    <row r="75" ht="15.75" customHeight="1">
      <c r="H75" s="132"/>
    </row>
    <row r="76" ht="15.75" customHeight="1">
      <c r="H76" s="132"/>
    </row>
    <row r="77" ht="15.75" customHeight="1">
      <c r="H77" s="132"/>
    </row>
    <row r="78" ht="15.75" customHeight="1">
      <c r="H78" s="132"/>
    </row>
    <row r="79" ht="15.75" customHeight="1">
      <c r="H79" s="132"/>
    </row>
    <row r="80" ht="15.75" customHeight="1">
      <c r="H80" s="132"/>
    </row>
    <row r="81" ht="15.75" customHeight="1">
      <c r="H81" s="132"/>
    </row>
    <row r="82" ht="15.75" customHeight="1">
      <c r="H82" s="132"/>
    </row>
    <row r="83" ht="15.75" customHeight="1">
      <c r="H83" s="132"/>
    </row>
    <row r="84" ht="15.75" customHeight="1">
      <c r="H84" s="132"/>
    </row>
    <row r="85" ht="15.75" customHeight="1">
      <c r="H85" s="132"/>
    </row>
    <row r="86" ht="15.75" customHeight="1">
      <c r="H86" s="132"/>
    </row>
    <row r="87" ht="15.75" customHeight="1">
      <c r="H87" s="132"/>
    </row>
    <row r="88" ht="15.75" customHeight="1">
      <c r="H88" s="132"/>
    </row>
    <row r="89" ht="15.75" customHeight="1">
      <c r="H89" s="132"/>
    </row>
    <row r="90" ht="15.75" customHeight="1">
      <c r="H90" s="132"/>
    </row>
    <row r="91" ht="15.75" customHeight="1">
      <c r="H91" s="132"/>
    </row>
    <row r="92" ht="15.75" customHeight="1">
      <c r="H92" s="132"/>
    </row>
    <row r="93" ht="15.75" customHeight="1">
      <c r="H93" s="132"/>
    </row>
    <row r="94" ht="15.75" customHeight="1">
      <c r="H94" s="132"/>
    </row>
    <row r="95" ht="15.75" customHeight="1">
      <c r="H95" s="132"/>
    </row>
    <row r="96" ht="15.75" customHeight="1">
      <c r="H96" s="132"/>
    </row>
    <row r="97" ht="15.75" customHeight="1">
      <c r="H97" s="132"/>
    </row>
    <row r="98" ht="15.75" customHeight="1">
      <c r="H98" s="132"/>
    </row>
    <row r="99" ht="15.75" customHeight="1">
      <c r="H99" s="132"/>
    </row>
    <row r="100" ht="15.75" customHeight="1">
      <c r="H100" s="132"/>
    </row>
    <row r="101" ht="15.75" customHeight="1">
      <c r="H101" s="132"/>
    </row>
    <row r="102" ht="15.75" customHeight="1">
      <c r="H102" s="132"/>
    </row>
    <row r="103" ht="15.75" customHeight="1">
      <c r="H103" s="132"/>
    </row>
    <row r="104" ht="15.75" customHeight="1">
      <c r="H104" s="132"/>
    </row>
    <row r="105" ht="15.75" customHeight="1">
      <c r="H105" s="132"/>
    </row>
    <row r="106" ht="15.75" customHeight="1">
      <c r="H106" s="132"/>
    </row>
    <row r="107" ht="15.75" customHeight="1">
      <c r="H107" s="132"/>
    </row>
    <row r="108" ht="15.75" customHeight="1">
      <c r="H108" s="132"/>
    </row>
    <row r="109" ht="15.75" customHeight="1">
      <c r="H109" s="132"/>
    </row>
    <row r="110" ht="15.75" customHeight="1">
      <c r="H110" s="132"/>
    </row>
    <row r="111" ht="15.75" customHeight="1">
      <c r="H111" s="132"/>
    </row>
    <row r="112" ht="15.75" customHeight="1">
      <c r="H112" s="132"/>
    </row>
    <row r="113" ht="15.75" customHeight="1">
      <c r="H113" s="132"/>
    </row>
    <row r="114" ht="15.75" customHeight="1">
      <c r="H114" s="132"/>
    </row>
    <row r="115" ht="15.75" customHeight="1">
      <c r="H115" s="132"/>
    </row>
    <row r="116" ht="15.75" customHeight="1">
      <c r="H116" s="132"/>
    </row>
    <row r="117" ht="15.75" customHeight="1">
      <c r="H117" s="132"/>
    </row>
    <row r="118" ht="15.75" customHeight="1">
      <c r="H118" s="132"/>
    </row>
    <row r="119" ht="15.75" customHeight="1">
      <c r="H119" s="132"/>
    </row>
    <row r="120" ht="15.75" customHeight="1">
      <c r="H120" s="132"/>
    </row>
    <row r="121" ht="15.75" customHeight="1">
      <c r="H121" s="132"/>
    </row>
    <row r="122" ht="15.75" customHeight="1">
      <c r="H122" s="132"/>
    </row>
    <row r="123" ht="15.75" customHeight="1">
      <c r="H123" s="132"/>
    </row>
    <row r="124" ht="15.75" customHeight="1">
      <c r="H124" s="132"/>
    </row>
    <row r="125" ht="15.75" customHeight="1">
      <c r="H125" s="132"/>
    </row>
    <row r="126" ht="15.75" customHeight="1">
      <c r="H126" s="132"/>
    </row>
    <row r="127" ht="15.75" customHeight="1">
      <c r="H127" s="132"/>
    </row>
    <row r="128" ht="15.75" customHeight="1">
      <c r="H128" s="132"/>
    </row>
    <row r="129" ht="15.75" customHeight="1">
      <c r="H129" s="132"/>
    </row>
    <row r="130" ht="15.75" customHeight="1">
      <c r="H130" s="132"/>
    </row>
    <row r="131" ht="15.75" customHeight="1">
      <c r="H131" s="132"/>
    </row>
    <row r="132" ht="15.75" customHeight="1">
      <c r="H132" s="132"/>
    </row>
    <row r="133" ht="15.75" customHeight="1">
      <c r="H133" s="132"/>
    </row>
    <row r="134" ht="15.75" customHeight="1">
      <c r="H134" s="132"/>
    </row>
    <row r="135" ht="15.75" customHeight="1">
      <c r="H135" s="132"/>
    </row>
    <row r="136" ht="15.75" customHeight="1">
      <c r="H136" s="132"/>
    </row>
    <row r="137" ht="15.75" customHeight="1">
      <c r="H137" s="132"/>
    </row>
    <row r="138" ht="15.75" customHeight="1">
      <c r="H138" s="132"/>
    </row>
    <row r="139" ht="15.75" customHeight="1">
      <c r="H139" s="132"/>
    </row>
    <row r="140" ht="15.75" customHeight="1">
      <c r="H140" s="132"/>
    </row>
    <row r="141" ht="15.75" customHeight="1">
      <c r="H141" s="132"/>
    </row>
    <row r="142" ht="15.75" customHeight="1">
      <c r="H142" s="132"/>
    </row>
    <row r="143" ht="15.75" customHeight="1">
      <c r="H143" s="132"/>
    </row>
    <row r="144" ht="15.75" customHeight="1">
      <c r="H144" s="132"/>
    </row>
    <row r="145" ht="15.75" customHeight="1">
      <c r="H145" s="132"/>
    </row>
    <row r="146" ht="15.75" customHeight="1">
      <c r="H146" s="132"/>
    </row>
    <row r="147" ht="15.75" customHeight="1">
      <c r="H147" s="132"/>
    </row>
    <row r="148" ht="15.75" customHeight="1">
      <c r="H148" s="132"/>
    </row>
    <row r="149" ht="15.75" customHeight="1">
      <c r="H149" s="132"/>
    </row>
    <row r="150" ht="15.75" customHeight="1">
      <c r="H150" s="132"/>
    </row>
    <row r="151" ht="15.75" customHeight="1">
      <c r="H151" s="132"/>
    </row>
    <row r="152" ht="15.75" customHeight="1">
      <c r="H152" s="132"/>
    </row>
    <row r="153" ht="15.75" customHeight="1">
      <c r="H153" s="132"/>
    </row>
    <row r="154" ht="15.75" customHeight="1">
      <c r="H154" s="132"/>
    </row>
    <row r="155" ht="15.75" customHeight="1">
      <c r="H155" s="132"/>
    </row>
    <row r="156" ht="15.75" customHeight="1">
      <c r="H156" s="132"/>
    </row>
    <row r="157" ht="15.75" customHeight="1">
      <c r="H157" s="132"/>
    </row>
    <row r="158" ht="15.75" customHeight="1">
      <c r="H158" s="132"/>
    </row>
    <row r="159" ht="15.75" customHeight="1">
      <c r="H159" s="132"/>
    </row>
    <row r="160" ht="15.75" customHeight="1">
      <c r="H160" s="132"/>
    </row>
    <row r="161" ht="15.75" customHeight="1">
      <c r="H161" s="132"/>
    </row>
    <row r="162" ht="15.75" customHeight="1">
      <c r="H162" s="132"/>
    </row>
    <row r="163" ht="15.75" customHeight="1">
      <c r="H163" s="132"/>
    </row>
    <row r="164" ht="15.75" customHeight="1">
      <c r="H164" s="132"/>
    </row>
    <row r="165" ht="15.75" customHeight="1">
      <c r="H165" s="132"/>
    </row>
    <row r="166" ht="15.75" customHeight="1">
      <c r="H166" s="132"/>
    </row>
    <row r="167" ht="15.75" customHeight="1">
      <c r="H167" s="132"/>
    </row>
    <row r="168" ht="15.75" customHeight="1">
      <c r="H168" s="132"/>
    </row>
    <row r="169" ht="15.75" customHeight="1">
      <c r="H169" s="132"/>
    </row>
    <row r="170" ht="15.75" customHeight="1">
      <c r="H170" s="132"/>
    </row>
    <row r="171" ht="15.75" customHeight="1">
      <c r="H171" s="132"/>
    </row>
    <row r="172" ht="15.75" customHeight="1">
      <c r="H172" s="132"/>
    </row>
    <row r="173" ht="15.75" customHeight="1">
      <c r="H173" s="132"/>
    </row>
    <row r="174" ht="15.75" customHeight="1">
      <c r="H174" s="132"/>
    </row>
    <row r="175" ht="15.75" customHeight="1">
      <c r="H175" s="132"/>
    </row>
    <row r="176" ht="15.75" customHeight="1">
      <c r="H176" s="132"/>
    </row>
    <row r="177" ht="15.75" customHeight="1">
      <c r="H177" s="132"/>
    </row>
    <row r="178" ht="15.75" customHeight="1">
      <c r="H178" s="132"/>
    </row>
    <row r="179" ht="15.75" customHeight="1">
      <c r="H179" s="132"/>
    </row>
    <row r="180" ht="15.75" customHeight="1">
      <c r="H180" s="132"/>
    </row>
    <row r="181" ht="15.75" customHeight="1">
      <c r="H181" s="132"/>
    </row>
    <row r="182" ht="15.75" customHeight="1">
      <c r="H182" s="132"/>
    </row>
    <row r="183" ht="15.75" customHeight="1">
      <c r="H183" s="132"/>
    </row>
    <row r="184" ht="15.75" customHeight="1">
      <c r="H184" s="132"/>
    </row>
    <row r="185" ht="15.75" customHeight="1">
      <c r="H185" s="132"/>
    </row>
    <row r="186" ht="15.75" customHeight="1">
      <c r="H186" s="132"/>
    </row>
    <row r="187" ht="15.75" customHeight="1">
      <c r="H187" s="132"/>
    </row>
    <row r="188" ht="15.75" customHeight="1">
      <c r="H188" s="132"/>
    </row>
    <row r="189" ht="15.75" customHeight="1">
      <c r="H189" s="132"/>
    </row>
    <row r="190" ht="15.75" customHeight="1">
      <c r="H190" s="132"/>
    </row>
    <row r="191" ht="15.75" customHeight="1">
      <c r="H191" s="132"/>
    </row>
    <row r="192" ht="15.75" customHeight="1">
      <c r="H192" s="132"/>
    </row>
    <row r="193" ht="15.75" customHeight="1">
      <c r="H193" s="132"/>
    </row>
    <row r="194" ht="15.75" customHeight="1">
      <c r="H194" s="132"/>
    </row>
    <row r="195" ht="15.75" customHeight="1">
      <c r="H195" s="132"/>
    </row>
    <row r="196" ht="15.75" customHeight="1">
      <c r="H196" s="132"/>
    </row>
    <row r="197" ht="15.75" customHeight="1">
      <c r="H197" s="132"/>
    </row>
    <row r="198" ht="15.75" customHeight="1">
      <c r="H198" s="132"/>
    </row>
    <row r="199" ht="15.75" customHeight="1">
      <c r="H199" s="132"/>
    </row>
    <row r="200" ht="15.75" customHeight="1">
      <c r="H200" s="132"/>
    </row>
    <row r="201" ht="15.75" customHeight="1">
      <c r="H201" s="132"/>
    </row>
    <row r="202" ht="15.75" customHeight="1">
      <c r="H202" s="132"/>
    </row>
    <row r="203" ht="15.75" customHeight="1">
      <c r="H203" s="132"/>
    </row>
    <row r="204" ht="15.75" customHeight="1">
      <c r="H204" s="132"/>
    </row>
    <row r="205" ht="15.75" customHeight="1">
      <c r="H205" s="132"/>
    </row>
    <row r="206" ht="15.75" customHeight="1">
      <c r="H206" s="132"/>
    </row>
    <row r="207" ht="15.75" customHeight="1">
      <c r="H207" s="132"/>
    </row>
    <row r="208" ht="15.75" customHeight="1">
      <c r="H208" s="132"/>
    </row>
    <row r="209" ht="15.75" customHeight="1">
      <c r="H209" s="132"/>
    </row>
    <row r="210" ht="15.75" customHeight="1">
      <c r="H210" s="132"/>
    </row>
    <row r="211" ht="15.75" customHeight="1">
      <c r="H211" s="132"/>
    </row>
    <row r="212" ht="15.75" customHeight="1">
      <c r="H212" s="132"/>
    </row>
    <row r="213" ht="15.75" customHeight="1">
      <c r="H213" s="132"/>
    </row>
    <row r="214" ht="15.75" customHeight="1">
      <c r="H214" s="132"/>
    </row>
    <row r="215" ht="15.75" customHeight="1">
      <c r="H215" s="132"/>
    </row>
    <row r="216" ht="15.75" customHeight="1">
      <c r="H216" s="132"/>
    </row>
    <row r="217" ht="15.75" customHeight="1">
      <c r="H217" s="132"/>
    </row>
    <row r="218" ht="15.75" customHeight="1">
      <c r="H218" s="132"/>
    </row>
    <row r="219" ht="15.75" customHeight="1">
      <c r="H219" s="132"/>
    </row>
    <row r="220" ht="15.75" customHeight="1">
      <c r="H220" s="132"/>
    </row>
    <row r="221" ht="15.75" customHeight="1">
      <c r="H221" s="132"/>
    </row>
    <row r="222" ht="15.75" customHeight="1">
      <c r="H222" s="132"/>
    </row>
    <row r="223" ht="15.75" customHeight="1">
      <c r="H223" s="132"/>
    </row>
    <row r="224" ht="15.75" customHeight="1">
      <c r="H224" s="132"/>
    </row>
    <row r="225" ht="15.75" customHeight="1">
      <c r="H225" s="132"/>
    </row>
    <row r="226" ht="15.75" customHeight="1">
      <c r="H226" s="132"/>
    </row>
    <row r="227" ht="15.75" customHeight="1">
      <c r="H227" s="132"/>
    </row>
    <row r="228" ht="15.75" customHeight="1">
      <c r="H228" s="132"/>
    </row>
    <row r="229" ht="15.75" customHeight="1">
      <c r="H229" s="132"/>
    </row>
    <row r="230" ht="15.75" customHeight="1">
      <c r="H230" s="132"/>
    </row>
    <row r="231" ht="15.75" customHeight="1">
      <c r="H231" s="132"/>
    </row>
    <row r="232" ht="15.75" customHeight="1">
      <c r="H232" s="132"/>
    </row>
    <row r="233" ht="15.75" customHeight="1">
      <c r="H233" s="132"/>
    </row>
    <row r="234" ht="15.75" customHeight="1">
      <c r="H234" s="132"/>
    </row>
    <row r="235" ht="15.75" customHeight="1">
      <c r="H235" s="132"/>
    </row>
    <row r="236" ht="15.75" customHeight="1">
      <c r="H236" s="132"/>
    </row>
    <row r="237" ht="15.75" customHeight="1">
      <c r="H237" s="132"/>
    </row>
    <row r="238" ht="15.75" customHeight="1">
      <c r="H238" s="132"/>
    </row>
    <row r="239" ht="15.75" customHeight="1">
      <c r="H239" s="132"/>
    </row>
    <row r="240" ht="15.75" customHeight="1">
      <c r="H240" s="132"/>
    </row>
    <row r="241" ht="15.75" customHeight="1">
      <c r="H241" s="132"/>
    </row>
    <row r="242" ht="15.75" customHeight="1">
      <c r="H242" s="132"/>
    </row>
    <row r="243" ht="15.75" customHeight="1">
      <c r="H243" s="132"/>
    </row>
    <row r="244" ht="15.75" customHeight="1">
      <c r="H244" s="132"/>
    </row>
    <row r="245" ht="15.75" customHeight="1">
      <c r="H245" s="132"/>
    </row>
    <row r="246" ht="15.75" customHeight="1">
      <c r="H246" s="132"/>
    </row>
    <row r="247" ht="15.75" customHeight="1">
      <c r="H247" s="132"/>
    </row>
    <row r="248" ht="15.75" customHeight="1">
      <c r="H248" s="132"/>
    </row>
    <row r="249" ht="15.75" customHeight="1">
      <c r="H249" s="132"/>
    </row>
    <row r="250" ht="15.75" customHeight="1">
      <c r="H250" s="132"/>
    </row>
    <row r="251" ht="15.75" customHeight="1">
      <c r="H251" s="132"/>
    </row>
    <row r="252" ht="15.75" customHeight="1">
      <c r="H252" s="132"/>
    </row>
    <row r="253" ht="15.75" customHeight="1">
      <c r="H253" s="132"/>
    </row>
    <row r="254" ht="15.75" customHeight="1">
      <c r="H254" s="132"/>
    </row>
    <row r="255" ht="15.75" customHeight="1">
      <c r="H255" s="132"/>
    </row>
    <row r="256" ht="15.75" customHeight="1">
      <c r="H256" s="132"/>
    </row>
    <row r="257" ht="15.75" customHeight="1">
      <c r="H257" s="132"/>
    </row>
    <row r="258" ht="15.75" customHeight="1">
      <c r="H258" s="132"/>
    </row>
    <row r="259" ht="15.75" customHeight="1">
      <c r="H259" s="132"/>
    </row>
    <row r="260" ht="15.75" customHeight="1">
      <c r="H260" s="132"/>
    </row>
    <row r="261" ht="15.75" customHeight="1">
      <c r="H261" s="132"/>
    </row>
    <row r="262" ht="15.75" customHeight="1">
      <c r="H262" s="132"/>
    </row>
    <row r="263" ht="15.75" customHeight="1">
      <c r="H263" s="132"/>
    </row>
    <row r="264" ht="15.75" customHeight="1">
      <c r="H264" s="132"/>
    </row>
    <row r="265" ht="15.75" customHeight="1">
      <c r="H265" s="132"/>
    </row>
    <row r="266" ht="15.75" customHeight="1">
      <c r="H266" s="132"/>
    </row>
    <row r="267" ht="15.75" customHeight="1">
      <c r="H267" s="132"/>
    </row>
    <row r="268" ht="15.75" customHeight="1">
      <c r="H268" s="132"/>
    </row>
    <row r="269" ht="15.75" customHeight="1">
      <c r="H269" s="132"/>
    </row>
    <row r="270" ht="15.75" customHeight="1">
      <c r="H270" s="132"/>
    </row>
    <row r="271" ht="15.75" customHeight="1">
      <c r="H271" s="132"/>
    </row>
    <row r="272" ht="15.75" customHeight="1">
      <c r="H272" s="132"/>
    </row>
    <row r="273" ht="15.75" customHeight="1">
      <c r="H273" s="132"/>
    </row>
    <row r="274" ht="15.75" customHeight="1">
      <c r="H274" s="132"/>
    </row>
    <row r="275" ht="15.75" customHeight="1">
      <c r="H275" s="132"/>
    </row>
    <row r="276" ht="15.75" customHeight="1">
      <c r="H276" s="132"/>
    </row>
    <row r="277" ht="15.75" customHeight="1">
      <c r="H277" s="132"/>
    </row>
    <row r="278" ht="15.75" customHeight="1">
      <c r="H278" s="132"/>
    </row>
    <row r="279" ht="15.75" customHeight="1">
      <c r="H279" s="132"/>
    </row>
    <row r="280" ht="15.75" customHeight="1">
      <c r="H280" s="132"/>
    </row>
    <row r="281" ht="15.75" customHeight="1">
      <c r="H281" s="132"/>
    </row>
    <row r="282" ht="15.75" customHeight="1">
      <c r="H282" s="132"/>
    </row>
    <row r="283" ht="15.75" customHeight="1">
      <c r="H283" s="132"/>
    </row>
    <row r="284" ht="15.75" customHeight="1">
      <c r="H284" s="132"/>
    </row>
    <row r="285" ht="15.75" customHeight="1">
      <c r="H285" s="132"/>
    </row>
    <row r="286" ht="15.75" customHeight="1">
      <c r="H286" s="132"/>
    </row>
    <row r="287" ht="15.75" customHeight="1">
      <c r="H287" s="132"/>
    </row>
    <row r="288" ht="15.75" customHeight="1">
      <c r="H288" s="132"/>
    </row>
    <row r="289" ht="15.75" customHeight="1">
      <c r="H289" s="132"/>
    </row>
    <row r="290" ht="15.75" customHeight="1">
      <c r="H290" s="132"/>
    </row>
    <row r="291" ht="15.75" customHeight="1">
      <c r="H291" s="132"/>
    </row>
    <row r="292" ht="15.75" customHeight="1">
      <c r="H292" s="132"/>
    </row>
    <row r="293" ht="15.75" customHeight="1">
      <c r="H293" s="132"/>
    </row>
    <row r="294" ht="15.75" customHeight="1">
      <c r="H294" s="132"/>
    </row>
    <row r="295" ht="15.75" customHeight="1">
      <c r="H295" s="132"/>
    </row>
    <row r="296" ht="15.75" customHeight="1">
      <c r="H296" s="132"/>
    </row>
    <row r="297" ht="15.75" customHeight="1">
      <c r="H297" s="132"/>
    </row>
    <row r="298" ht="15.75" customHeight="1">
      <c r="H298" s="132"/>
    </row>
    <row r="299" ht="15.75" customHeight="1">
      <c r="H299" s="132"/>
    </row>
    <row r="300" ht="15.75" customHeight="1">
      <c r="H300" s="132"/>
    </row>
    <row r="301" ht="15.75" customHeight="1">
      <c r="H301" s="132"/>
    </row>
    <row r="302" ht="15.75" customHeight="1">
      <c r="H302" s="132"/>
    </row>
    <row r="303" ht="15.75" customHeight="1">
      <c r="H303" s="132"/>
    </row>
    <row r="304" ht="15.75" customHeight="1">
      <c r="H304" s="132"/>
    </row>
    <row r="305" ht="15.75" customHeight="1">
      <c r="H305" s="132"/>
    </row>
    <row r="306" ht="15.75" customHeight="1">
      <c r="H306" s="132"/>
    </row>
    <row r="307" ht="15.75" customHeight="1">
      <c r="H307" s="132"/>
    </row>
    <row r="308" ht="15.75" customHeight="1">
      <c r="H308" s="132"/>
    </row>
    <row r="309" ht="15.75" customHeight="1">
      <c r="H309" s="132"/>
    </row>
    <row r="310" ht="15.75" customHeight="1">
      <c r="H310" s="132"/>
    </row>
    <row r="311" ht="15.75" customHeight="1">
      <c r="H311" s="132"/>
    </row>
    <row r="312" ht="15.75" customHeight="1">
      <c r="H312" s="132"/>
    </row>
    <row r="313" ht="15.75" customHeight="1">
      <c r="H313" s="132"/>
    </row>
    <row r="314" ht="15.75" customHeight="1">
      <c r="H314" s="132"/>
    </row>
    <row r="315" ht="15.75" customHeight="1">
      <c r="H315" s="132"/>
    </row>
    <row r="316" ht="15.75" customHeight="1">
      <c r="H316" s="132"/>
    </row>
    <row r="317" ht="15.75" customHeight="1">
      <c r="H317" s="132"/>
    </row>
    <row r="318" ht="15.75" customHeight="1">
      <c r="H318" s="132"/>
    </row>
    <row r="319" ht="15.75" customHeight="1">
      <c r="H319" s="132"/>
    </row>
    <row r="320" ht="15.75" customHeight="1">
      <c r="H320" s="132"/>
    </row>
    <row r="321" ht="15.75" customHeight="1">
      <c r="H321" s="132"/>
    </row>
    <row r="322" ht="15.75" customHeight="1">
      <c r="H322" s="132"/>
    </row>
    <row r="323" ht="15.75" customHeight="1">
      <c r="H323" s="132"/>
    </row>
    <row r="324" ht="15.75" customHeight="1">
      <c r="H324" s="132"/>
    </row>
    <row r="325" ht="15.75" customHeight="1">
      <c r="H325" s="132"/>
    </row>
    <row r="326" ht="15.75" customHeight="1">
      <c r="H326" s="132"/>
    </row>
    <row r="327" ht="15.75" customHeight="1">
      <c r="H327" s="132"/>
    </row>
    <row r="328" ht="15.75" customHeight="1">
      <c r="H328" s="132"/>
    </row>
    <row r="329" ht="15.75" customHeight="1">
      <c r="H329" s="132"/>
    </row>
    <row r="330" ht="15.75" customHeight="1">
      <c r="H330" s="132"/>
    </row>
    <row r="331" ht="15.75" customHeight="1">
      <c r="H331" s="132"/>
    </row>
    <row r="332" ht="15.75" customHeight="1">
      <c r="H332" s="132"/>
    </row>
    <row r="333" ht="15.75" customHeight="1">
      <c r="H333" s="132"/>
    </row>
    <row r="334" ht="15.75" customHeight="1">
      <c r="H334" s="132"/>
    </row>
    <row r="335" ht="15.75" customHeight="1">
      <c r="H335" s="132"/>
    </row>
    <row r="336" ht="15.75" customHeight="1">
      <c r="H336" s="132"/>
    </row>
    <row r="337" ht="15.75" customHeight="1">
      <c r="H337" s="132"/>
    </row>
    <row r="338" ht="15.75" customHeight="1">
      <c r="H338" s="132"/>
    </row>
    <row r="339" ht="15.75" customHeight="1">
      <c r="H339" s="132"/>
    </row>
    <row r="340" ht="15.75" customHeight="1">
      <c r="H340" s="132"/>
    </row>
    <row r="341" ht="15.75" customHeight="1">
      <c r="H341" s="132"/>
    </row>
    <row r="342" ht="15.75" customHeight="1">
      <c r="H342" s="132"/>
    </row>
    <row r="343" ht="15.75" customHeight="1">
      <c r="H343" s="132"/>
    </row>
    <row r="344" ht="15.75" customHeight="1">
      <c r="H344" s="132"/>
    </row>
    <row r="345" ht="15.75" customHeight="1">
      <c r="H345" s="132"/>
    </row>
    <row r="346" ht="15.75" customHeight="1">
      <c r="H346" s="132"/>
    </row>
    <row r="347" ht="15.75" customHeight="1">
      <c r="H347" s="132"/>
    </row>
    <row r="348" ht="15.75" customHeight="1">
      <c r="H348" s="132"/>
    </row>
    <row r="349" ht="15.75" customHeight="1">
      <c r="H349" s="132"/>
    </row>
    <row r="350" ht="15.75" customHeight="1">
      <c r="H350" s="132"/>
    </row>
    <row r="351" ht="15.75" customHeight="1">
      <c r="H351" s="132"/>
    </row>
    <row r="352" ht="15.75" customHeight="1">
      <c r="H352" s="132"/>
    </row>
    <row r="353" ht="15.75" customHeight="1">
      <c r="H353" s="132"/>
    </row>
    <row r="354" ht="15.75" customHeight="1">
      <c r="H354" s="132"/>
    </row>
    <row r="355" ht="15.75" customHeight="1">
      <c r="H355" s="132"/>
    </row>
    <row r="356" ht="15.75" customHeight="1">
      <c r="H356" s="132"/>
    </row>
    <row r="357" ht="15.75" customHeight="1">
      <c r="H357" s="132"/>
    </row>
    <row r="358" ht="15.75" customHeight="1">
      <c r="H358" s="132"/>
    </row>
    <row r="359" ht="15.75" customHeight="1">
      <c r="H359" s="132"/>
    </row>
    <row r="360" ht="15.75" customHeight="1">
      <c r="H360" s="132"/>
    </row>
    <row r="361" ht="15.75" customHeight="1">
      <c r="H361" s="132"/>
    </row>
    <row r="362" ht="15.75" customHeight="1">
      <c r="H362" s="132"/>
    </row>
    <row r="363" ht="15.75" customHeight="1">
      <c r="H363" s="132"/>
    </row>
    <row r="364" ht="15.75" customHeight="1">
      <c r="H364" s="132"/>
    </row>
    <row r="365" ht="15.75" customHeight="1">
      <c r="H365" s="132"/>
    </row>
    <row r="366" ht="15.75" customHeight="1">
      <c r="H366" s="132"/>
    </row>
    <row r="367" ht="15.75" customHeight="1">
      <c r="H367" s="132"/>
    </row>
    <row r="368" ht="15.75" customHeight="1">
      <c r="H368" s="132"/>
    </row>
    <row r="369" ht="15.75" customHeight="1">
      <c r="H369" s="132"/>
    </row>
    <row r="370" ht="15.75" customHeight="1">
      <c r="H370" s="132"/>
    </row>
    <row r="371" ht="15.75" customHeight="1">
      <c r="H371" s="132"/>
    </row>
    <row r="372" ht="15.75" customHeight="1">
      <c r="H372" s="132"/>
    </row>
    <row r="373" ht="15.75" customHeight="1">
      <c r="H373" s="132"/>
    </row>
    <row r="374" ht="15.75" customHeight="1">
      <c r="H374" s="132"/>
    </row>
    <row r="375" ht="15.75" customHeight="1">
      <c r="H375" s="132"/>
    </row>
    <row r="376" ht="15.75" customHeight="1">
      <c r="H376" s="132"/>
    </row>
    <row r="377" ht="15.75" customHeight="1">
      <c r="H377" s="132"/>
    </row>
    <row r="378" ht="15.75" customHeight="1">
      <c r="H378" s="132"/>
    </row>
    <row r="379" ht="15.75" customHeight="1">
      <c r="H379" s="132"/>
    </row>
    <row r="380" ht="15.75" customHeight="1">
      <c r="H380" s="132"/>
    </row>
    <row r="381" ht="15.75" customHeight="1">
      <c r="H381" s="132"/>
    </row>
    <row r="382" ht="15.75" customHeight="1">
      <c r="H382" s="132"/>
    </row>
    <row r="383" ht="15.75" customHeight="1">
      <c r="H383" s="132"/>
    </row>
    <row r="384" ht="15.75" customHeight="1">
      <c r="H384" s="132"/>
    </row>
    <row r="385" ht="15.75" customHeight="1">
      <c r="H385" s="132"/>
    </row>
    <row r="386" ht="15.75" customHeight="1">
      <c r="H386" s="132"/>
    </row>
    <row r="387" ht="15.75" customHeight="1">
      <c r="H387" s="132"/>
    </row>
    <row r="388" ht="15.75" customHeight="1">
      <c r="H388" s="132"/>
    </row>
    <row r="389" ht="15.75" customHeight="1">
      <c r="H389" s="132"/>
    </row>
    <row r="390" ht="15.75" customHeight="1">
      <c r="H390" s="132"/>
    </row>
    <row r="391" ht="15.75" customHeight="1">
      <c r="H391" s="132"/>
    </row>
    <row r="392" ht="15.75" customHeight="1">
      <c r="H392" s="132"/>
    </row>
    <row r="393" ht="15.75" customHeight="1">
      <c r="H393" s="132"/>
    </row>
    <row r="394" ht="15.75" customHeight="1">
      <c r="H394" s="132"/>
    </row>
    <row r="395" ht="15.75" customHeight="1">
      <c r="H395" s="132"/>
    </row>
    <row r="396" ht="15.75" customHeight="1">
      <c r="H396" s="132"/>
    </row>
    <row r="397" ht="15.75" customHeight="1">
      <c r="H397" s="132"/>
    </row>
    <row r="398" ht="15.75" customHeight="1">
      <c r="H398" s="132"/>
    </row>
    <row r="399" ht="15.75" customHeight="1">
      <c r="H399" s="132"/>
    </row>
    <row r="400" ht="15.75" customHeight="1">
      <c r="H400" s="132"/>
    </row>
    <row r="401" ht="15.75" customHeight="1">
      <c r="H401" s="132"/>
    </row>
    <row r="402" ht="15.75" customHeight="1">
      <c r="H402" s="132"/>
    </row>
    <row r="403" ht="15.75" customHeight="1">
      <c r="H403" s="132"/>
    </row>
    <row r="404" ht="15.75" customHeight="1">
      <c r="H404" s="132"/>
    </row>
    <row r="405" ht="15.75" customHeight="1">
      <c r="H405" s="132"/>
    </row>
    <row r="406" ht="15.75" customHeight="1">
      <c r="H406" s="132"/>
    </row>
    <row r="407" ht="15.75" customHeight="1">
      <c r="H407" s="132"/>
    </row>
    <row r="408" ht="15.75" customHeight="1">
      <c r="H408" s="132"/>
    </row>
    <row r="409" ht="15.75" customHeight="1">
      <c r="H409" s="132"/>
    </row>
    <row r="410" ht="15.75" customHeight="1">
      <c r="H410" s="132"/>
    </row>
    <row r="411" ht="15.75" customHeight="1">
      <c r="H411" s="132"/>
    </row>
    <row r="412" ht="15.75" customHeight="1">
      <c r="H412" s="132"/>
    </row>
    <row r="413" ht="15.75" customHeight="1">
      <c r="H413" s="132"/>
    </row>
    <row r="414" ht="15.75" customHeight="1">
      <c r="H414" s="132"/>
    </row>
    <row r="415" ht="15.75" customHeight="1">
      <c r="H415" s="132"/>
    </row>
    <row r="416" ht="15.75" customHeight="1">
      <c r="H416" s="132"/>
    </row>
    <row r="417" ht="15.75" customHeight="1">
      <c r="H417" s="132"/>
    </row>
    <row r="418" ht="15.75" customHeight="1">
      <c r="H418" s="132"/>
    </row>
    <row r="419" ht="15.75" customHeight="1">
      <c r="H419" s="132"/>
    </row>
    <row r="420" ht="15.75" customHeight="1">
      <c r="H420" s="132"/>
    </row>
    <row r="421" ht="15.75" customHeight="1">
      <c r="H421" s="132"/>
    </row>
    <row r="422" ht="15.75" customHeight="1">
      <c r="H422" s="132"/>
    </row>
    <row r="423" ht="15.75" customHeight="1">
      <c r="H423" s="132"/>
    </row>
    <row r="424" ht="15.75" customHeight="1">
      <c r="H424" s="132"/>
    </row>
    <row r="425" ht="15.75" customHeight="1">
      <c r="H425" s="132"/>
    </row>
    <row r="426" ht="15.75" customHeight="1">
      <c r="H426" s="132"/>
    </row>
    <row r="427" ht="15.75" customHeight="1">
      <c r="H427" s="132"/>
    </row>
    <row r="428" ht="15.75" customHeight="1">
      <c r="H428" s="132"/>
    </row>
    <row r="429" ht="15.75" customHeight="1">
      <c r="H429" s="132"/>
    </row>
    <row r="430" ht="15.75" customHeight="1">
      <c r="H430" s="132"/>
    </row>
    <row r="431" ht="15.75" customHeight="1">
      <c r="H431" s="132"/>
    </row>
    <row r="432" ht="15.75" customHeight="1">
      <c r="H432" s="132"/>
    </row>
    <row r="433" ht="15.75" customHeight="1">
      <c r="H433" s="132"/>
    </row>
    <row r="434" ht="15.75" customHeight="1">
      <c r="H434" s="132"/>
    </row>
    <row r="435" ht="15.75" customHeight="1">
      <c r="H435" s="132"/>
    </row>
    <row r="436" ht="15.75" customHeight="1">
      <c r="H436" s="132"/>
    </row>
    <row r="437" ht="15.75" customHeight="1">
      <c r="H437" s="132"/>
    </row>
    <row r="438" ht="15.75" customHeight="1">
      <c r="H438" s="132"/>
    </row>
    <row r="439" ht="15.75" customHeight="1">
      <c r="H439" s="132"/>
    </row>
    <row r="440" ht="15.75" customHeight="1">
      <c r="H440" s="132"/>
    </row>
    <row r="441" ht="15.75" customHeight="1">
      <c r="H441" s="132"/>
    </row>
    <row r="442" ht="15.75" customHeight="1">
      <c r="H442" s="132"/>
    </row>
    <row r="443" ht="15.75" customHeight="1">
      <c r="H443" s="132"/>
    </row>
    <row r="444" ht="15.75" customHeight="1">
      <c r="H444" s="132"/>
    </row>
    <row r="445" ht="15.75" customHeight="1">
      <c r="H445" s="132"/>
    </row>
    <row r="446" ht="15.75" customHeight="1">
      <c r="H446" s="132"/>
    </row>
    <row r="447" ht="15.75" customHeight="1">
      <c r="H447" s="132"/>
    </row>
    <row r="448" ht="15.75" customHeight="1">
      <c r="H448" s="132"/>
    </row>
    <row r="449" ht="15.75" customHeight="1">
      <c r="H449" s="132"/>
    </row>
    <row r="450" ht="15.75" customHeight="1">
      <c r="H450" s="132"/>
    </row>
    <row r="451" ht="15.75" customHeight="1">
      <c r="H451" s="132"/>
    </row>
    <row r="452" ht="15.75" customHeight="1">
      <c r="H452" s="132"/>
    </row>
    <row r="453" ht="15.75" customHeight="1">
      <c r="H453" s="132"/>
    </row>
    <row r="454" ht="15.75" customHeight="1">
      <c r="H454" s="132"/>
    </row>
    <row r="455" ht="15.75" customHeight="1">
      <c r="H455" s="132"/>
    </row>
    <row r="456" ht="15.75" customHeight="1">
      <c r="H456" s="132"/>
    </row>
    <row r="457" ht="15.75" customHeight="1">
      <c r="H457" s="132"/>
    </row>
    <row r="458" ht="15.75" customHeight="1">
      <c r="H458" s="132"/>
    </row>
    <row r="459" ht="15.75" customHeight="1">
      <c r="H459" s="132"/>
    </row>
    <row r="460" ht="15.75" customHeight="1">
      <c r="H460" s="132"/>
    </row>
    <row r="461" ht="15.75" customHeight="1">
      <c r="H461" s="132"/>
    </row>
    <row r="462" ht="15.75" customHeight="1">
      <c r="H462" s="132"/>
    </row>
    <row r="463" ht="15.75" customHeight="1">
      <c r="H463" s="132"/>
    </row>
    <row r="464" ht="15.75" customHeight="1">
      <c r="H464" s="132"/>
    </row>
    <row r="465" ht="15.75" customHeight="1">
      <c r="H465" s="132"/>
    </row>
    <row r="466" ht="15.75" customHeight="1">
      <c r="H466" s="132"/>
    </row>
    <row r="467" ht="15.75" customHeight="1">
      <c r="H467" s="132"/>
    </row>
    <row r="468" ht="15.75" customHeight="1">
      <c r="H468" s="132"/>
    </row>
    <row r="469" ht="15.75" customHeight="1">
      <c r="H469" s="132"/>
    </row>
    <row r="470" ht="15.75" customHeight="1">
      <c r="H470" s="132"/>
    </row>
    <row r="471" ht="15.75" customHeight="1">
      <c r="H471" s="132"/>
    </row>
    <row r="472" ht="15.75" customHeight="1">
      <c r="H472" s="132"/>
    </row>
    <row r="473" ht="15.75" customHeight="1">
      <c r="H473" s="132"/>
    </row>
    <row r="474" ht="15.75" customHeight="1">
      <c r="H474" s="132"/>
    </row>
    <row r="475" ht="15.75" customHeight="1">
      <c r="H475" s="132"/>
    </row>
    <row r="476" ht="15.75" customHeight="1">
      <c r="H476" s="132"/>
    </row>
    <row r="477" ht="15.75" customHeight="1">
      <c r="H477" s="132"/>
    </row>
    <row r="478" ht="15.75" customHeight="1">
      <c r="H478" s="132"/>
    </row>
    <row r="479" ht="15.75" customHeight="1">
      <c r="H479" s="132"/>
    </row>
    <row r="480" ht="15.75" customHeight="1">
      <c r="H480" s="132"/>
    </row>
    <row r="481" ht="15.75" customHeight="1">
      <c r="H481" s="132"/>
    </row>
    <row r="482" ht="15.75" customHeight="1">
      <c r="H482" s="132"/>
    </row>
    <row r="483" ht="15.75" customHeight="1">
      <c r="H483" s="132"/>
    </row>
    <row r="484" ht="15.75" customHeight="1">
      <c r="H484" s="132"/>
    </row>
    <row r="485" ht="15.75" customHeight="1">
      <c r="H485" s="132"/>
    </row>
    <row r="486" ht="15.75" customHeight="1">
      <c r="H486" s="132"/>
    </row>
    <row r="487" ht="15.75" customHeight="1">
      <c r="H487" s="132"/>
    </row>
    <row r="488" ht="15.75" customHeight="1">
      <c r="H488" s="132"/>
    </row>
    <row r="489" ht="15.75" customHeight="1">
      <c r="H489" s="132"/>
    </row>
    <row r="490" ht="15.75" customHeight="1">
      <c r="H490" s="132"/>
    </row>
    <row r="491" ht="15.75" customHeight="1">
      <c r="H491" s="132"/>
    </row>
    <row r="492" ht="15.75" customHeight="1">
      <c r="H492" s="132"/>
    </row>
    <row r="493" ht="15.75" customHeight="1">
      <c r="H493" s="132"/>
    </row>
    <row r="494" ht="15.75" customHeight="1">
      <c r="H494" s="132"/>
    </row>
    <row r="495" ht="15.75" customHeight="1">
      <c r="H495" s="132"/>
    </row>
    <row r="496" ht="15.75" customHeight="1">
      <c r="H496" s="132"/>
    </row>
    <row r="497" ht="15.75" customHeight="1">
      <c r="H497" s="132"/>
    </row>
    <row r="498" ht="15.75" customHeight="1">
      <c r="H498" s="132"/>
    </row>
    <row r="499" ht="15.75" customHeight="1">
      <c r="H499" s="132"/>
    </row>
    <row r="500" ht="15.75" customHeight="1">
      <c r="H500" s="132"/>
    </row>
    <row r="501" ht="15.75" customHeight="1">
      <c r="H501" s="132"/>
    </row>
    <row r="502" ht="15.75" customHeight="1">
      <c r="H502" s="132"/>
    </row>
    <row r="503" ht="15.75" customHeight="1">
      <c r="H503" s="132"/>
    </row>
    <row r="504" ht="15.75" customHeight="1">
      <c r="H504" s="132"/>
    </row>
    <row r="505" ht="15.75" customHeight="1">
      <c r="H505" s="132"/>
    </row>
    <row r="506" ht="15.75" customHeight="1">
      <c r="H506" s="132"/>
    </row>
    <row r="507" ht="15.75" customHeight="1">
      <c r="H507" s="132"/>
    </row>
    <row r="508" ht="15.75" customHeight="1">
      <c r="H508" s="132"/>
    </row>
    <row r="509" ht="15.75" customHeight="1">
      <c r="H509" s="132"/>
    </row>
    <row r="510" ht="15.75" customHeight="1">
      <c r="H510" s="132"/>
    </row>
    <row r="511" ht="15.75" customHeight="1">
      <c r="H511" s="132"/>
    </row>
    <row r="512" ht="15.75" customHeight="1">
      <c r="H512" s="132"/>
    </row>
    <row r="513" ht="15.75" customHeight="1">
      <c r="H513" s="132"/>
    </row>
    <row r="514" ht="15.75" customHeight="1">
      <c r="H514" s="132"/>
    </row>
    <row r="515" ht="15.75" customHeight="1">
      <c r="H515" s="132"/>
    </row>
    <row r="516" ht="15.75" customHeight="1">
      <c r="H516" s="132"/>
    </row>
    <row r="517" ht="15.75" customHeight="1">
      <c r="H517" s="132"/>
    </row>
    <row r="518" ht="15.75" customHeight="1">
      <c r="H518" s="132"/>
    </row>
    <row r="519" ht="15.75" customHeight="1">
      <c r="H519" s="132"/>
    </row>
    <row r="520" ht="15.75" customHeight="1">
      <c r="H520" s="132"/>
    </row>
    <row r="521" ht="15.75" customHeight="1">
      <c r="H521" s="132"/>
    </row>
    <row r="522" ht="15.75" customHeight="1">
      <c r="H522" s="132"/>
    </row>
    <row r="523" ht="15.75" customHeight="1">
      <c r="H523" s="132"/>
    </row>
    <row r="524" ht="15.75" customHeight="1">
      <c r="H524" s="132"/>
    </row>
    <row r="525" ht="15.75" customHeight="1">
      <c r="H525" s="132"/>
    </row>
    <row r="526" ht="15.75" customHeight="1">
      <c r="H526" s="132"/>
    </row>
    <row r="527" ht="15.75" customHeight="1">
      <c r="H527" s="132"/>
    </row>
    <row r="528" ht="15.75" customHeight="1">
      <c r="H528" s="132"/>
    </row>
    <row r="529" ht="15.75" customHeight="1">
      <c r="H529" s="132"/>
    </row>
    <row r="530" ht="15.75" customHeight="1">
      <c r="H530" s="132"/>
    </row>
    <row r="531" ht="15.75" customHeight="1">
      <c r="H531" s="132"/>
    </row>
    <row r="532" ht="15.75" customHeight="1">
      <c r="H532" s="132"/>
    </row>
    <row r="533" ht="15.75" customHeight="1">
      <c r="H533" s="132"/>
    </row>
    <row r="534" ht="15.75" customHeight="1">
      <c r="H534" s="132"/>
    </row>
    <row r="535" ht="15.75" customHeight="1">
      <c r="H535" s="132"/>
    </row>
    <row r="536" ht="15.75" customHeight="1">
      <c r="H536" s="132"/>
    </row>
    <row r="537" ht="15.75" customHeight="1">
      <c r="H537" s="132"/>
    </row>
    <row r="538" ht="15.75" customHeight="1">
      <c r="H538" s="132"/>
    </row>
    <row r="539" ht="15.75" customHeight="1">
      <c r="H539" s="132"/>
    </row>
    <row r="540" ht="15.75" customHeight="1">
      <c r="H540" s="132"/>
    </row>
    <row r="541" ht="15.75" customHeight="1">
      <c r="H541" s="132"/>
    </row>
    <row r="542" ht="15.75" customHeight="1">
      <c r="H542" s="132"/>
    </row>
    <row r="543" ht="15.75" customHeight="1">
      <c r="H543" s="132"/>
    </row>
    <row r="544" ht="15.75" customHeight="1">
      <c r="H544" s="132"/>
    </row>
    <row r="545" ht="15.75" customHeight="1">
      <c r="H545" s="132"/>
    </row>
    <row r="546" ht="15.75" customHeight="1">
      <c r="H546" s="132"/>
    </row>
    <row r="547" ht="15.75" customHeight="1">
      <c r="H547" s="132"/>
    </row>
    <row r="548" ht="15.75" customHeight="1">
      <c r="H548" s="132"/>
    </row>
    <row r="549" ht="15.75" customHeight="1">
      <c r="H549" s="132"/>
    </row>
    <row r="550" ht="15.75" customHeight="1">
      <c r="H550" s="132"/>
    </row>
    <row r="551" ht="15.75" customHeight="1">
      <c r="H551" s="132"/>
    </row>
    <row r="552" ht="15.75" customHeight="1">
      <c r="H552" s="132"/>
    </row>
    <row r="553" ht="15.75" customHeight="1">
      <c r="H553" s="132"/>
    </row>
    <row r="554" ht="15.75" customHeight="1">
      <c r="H554" s="132"/>
    </row>
    <row r="555" ht="15.75" customHeight="1">
      <c r="H555" s="132"/>
    </row>
    <row r="556" ht="15.75" customHeight="1">
      <c r="H556" s="132"/>
    </row>
    <row r="557" ht="15.75" customHeight="1">
      <c r="H557" s="132"/>
    </row>
    <row r="558" ht="15.75" customHeight="1">
      <c r="H558" s="132"/>
    </row>
    <row r="559" ht="15.75" customHeight="1">
      <c r="H559" s="132"/>
    </row>
    <row r="560" ht="15.75" customHeight="1">
      <c r="H560" s="132"/>
    </row>
    <row r="561" ht="15.75" customHeight="1">
      <c r="H561" s="132"/>
    </row>
    <row r="562" ht="15.75" customHeight="1">
      <c r="H562" s="132"/>
    </row>
    <row r="563" ht="15.75" customHeight="1">
      <c r="H563" s="132"/>
    </row>
    <row r="564" ht="15.75" customHeight="1">
      <c r="H564" s="132"/>
    </row>
    <row r="565" ht="15.75" customHeight="1">
      <c r="H565" s="132"/>
    </row>
    <row r="566" ht="15.75" customHeight="1">
      <c r="H566" s="132"/>
    </row>
    <row r="567" ht="15.75" customHeight="1">
      <c r="H567" s="132"/>
    </row>
    <row r="568" ht="15.75" customHeight="1">
      <c r="H568" s="132"/>
    </row>
    <row r="569" ht="15.75" customHeight="1">
      <c r="H569" s="132"/>
    </row>
    <row r="570" ht="15.75" customHeight="1">
      <c r="H570" s="132"/>
    </row>
    <row r="571" ht="15.75" customHeight="1">
      <c r="H571" s="132"/>
    </row>
    <row r="572" ht="15.75" customHeight="1">
      <c r="H572" s="132"/>
    </row>
    <row r="573" ht="15.75" customHeight="1">
      <c r="H573" s="132"/>
    </row>
    <row r="574" ht="15.75" customHeight="1">
      <c r="H574" s="132"/>
    </row>
    <row r="575" ht="15.75" customHeight="1">
      <c r="H575" s="132"/>
    </row>
    <row r="576" ht="15.75" customHeight="1">
      <c r="H576" s="132"/>
    </row>
    <row r="577" ht="15.75" customHeight="1">
      <c r="H577" s="132"/>
    </row>
    <row r="578" ht="15.75" customHeight="1">
      <c r="H578" s="132"/>
    </row>
    <row r="579" ht="15.75" customHeight="1">
      <c r="H579" s="132"/>
    </row>
    <row r="580" ht="15.75" customHeight="1">
      <c r="H580" s="132"/>
    </row>
    <row r="581" ht="15.75" customHeight="1">
      <c r="H581" s="132"/>
    </row>
    <row r="582" ht="15.75" customHeight="1">
      <c r="H582" s="132"/>
    </row>
    <row r="583" ht="15.75" customHeight="1">
      <c r="H583" s="132"/>
    </row>
    <row r="584" ht="15.75" customHeight="1">
      <c r="H584" s="132"/>
    </row>
    <row r="585" ht="15.75" customHeight="1">
      <c r="H585" s="132"/>
    </row>
    <row r="586" ht="15.75" customHeight="1">
      <c r="H586" s="132"/>
    </row>
    <row r="587" ht="15.75" customHeight="1">
      <c r="H587" s="132"/>
    </row>
    <row r="588" ht="15.75" customHeight="1">
      <c r="H588" s="132"/>
    </row>
    <row r="589" ht="15.75" customHeight="1">
      <c r="H589" s="132"/>
    </row>
    <row r="590" ht="15.75" customHeight="1">
      <c r="H590" s="132"/>
    </row>
    <row r="591" ht="15.75" customHeight="1">
      <c r="H591" s="132"/>
    </row>
    <row r="592" ht="15.75" customHeight="1">
      <c r="H592" s="132"/>
    </row>
    <row r="593" ht="15.75" customHeight="1">
      <c r="H593" s="132"/>
    </row>
    <row r="594" ht="15.75" customHeight="1">
      <c r="H594" s="132"/>
    </row>
    <row r="595" ht="15.75" customHeight="1">
      <c r="H595" s="132"/>
    </row>
    <row r="596" ht="15.75" customHeight="1">
      <c r="H596" s="132"/>
    </row>
    <row r="597" ht="15.75" customHeight="1">
      <c r="H597" s="132"/>
    </row>
    <row r="598" ht="15.75" customHeight="1">
      <c r="H598" s="132"/>
    </row>
    <row r="599" ht="15.75" customHeight="1">
      <c r="H599" s="132"/>
    </row>
    <row r="600" ht="15.75" customHeight="1">
      <c r="H600" s="132"/>
    </row>
    <row r="601" ht="15.75" customHeight="1">
      <c r="H601" s="132"/>
    </row>
    <row r="602" ht="15.75" customHeight="1">
      <c r="H602" s="132"/>
    </row>
    <row r="603" ht="15.75" customHeight="1">
      <c r="H603" s="132"/>
    </row>
    <row r="604" ht="15.75" customHeight="1">
      <c r="H604" s="132"/>
    </row>
    <row r="605" ht="15.75" customHeight="1">
      <c r="H605" s="132"/>
    </row>
    <row r="606" ht="15.75" customHeight="1">
      <c r="H606" s="132"/>
    </row>
    <row r="607" ht="15.75" customHeight="1">
      <c r="H607" s="132"/>
    </row>
    <row r="608" ht="15.75" customHeight="1">
      <c r="H608" s="132"/>
    </row>
    <row r="609" ht="15.75" customHeight="1">
      <c r="H609" s="132"/>
    </row>
    <row r="610" ht="15.75" customHeight="1">
      <c r="H610" s="132"/>
    </row>
    <row r="611" ht="15.75" customHeight="1">
      <c r="H611" s="132"/>
    </row>
    <row r="612" ht="15.75" customHeight="1">
      <c r="H612" s="132"/>
    </row>
    <row r="613" ht="15.75" customHeight="1">
      <c r="H613" s="132"/>
    </row>
    <row r="614" ht="15.75" customHeight="1">
      <c r="H614" s="132"/>
    </row>
    <row r="615" ht="15.75" customHeight="1">
      <c r="H615" s="132"/>
    </row>
    <row r="616" ht="15.75" customHeight="1">
      <c r="H616" s="132"/>
    </row>
    <row r="617" ht="15.75" customHeight="1">
      <c r="H617" s="132"/>
    </row>
    <row r="618" ht="15.75" customHeight="1">
      <c r="H618" s="132"/>
    </row>
    <row r="619" ht="15.75" customHeight="1">
      <c r="H619" s="132"/>
    </row>
    <row r="620" ht="15.75" customHeight="1">
      <c r="H620" s="132"/>
    </row>
    <row r="621" ht="15.75" customHeight="1">
      <c r="H621" s="132"/>
    </row>
    <row r="622" ht="15.75" customHeight="1">
      <c r="H622" s="132"/>
    </row>
    <row r="623" ht="15.75" customHeight="1">
      <c r="H623" s="132"/>
    </row>
    <row r="624" ht="15.75" customHeight="1">
      <c r="H624" s="132"/>
    </row>
    <row r="625" ht="15.75" customHeight="1">
      <c r="H625" s="132"/>
    </row>
    <row r="626" ht="15.75" customHeight="1">
      <c r="H626" s="132"/>
    </row>
    <row r="627" ht="15.75" customHeight="1">
      <c r="H627" s="132"/>
    </row>
    <row r="628" ht="15.75" customHeight="1">
      <c r="H628" s="132"/>
    </row>
    <row r="629" ht="15.75" customHeight="1">
      <c r="H629" s="132"/>
    </row>
    <row r="630" ht="15.75" customHeight="1">
      <c r="H630" s="132"/>
    </row>
    <row r="631" ht="15.75" customHeight="1">
      <c r="H631" s="132"/>
    </row>
    <row r="632" ht="15.75" customHeight="1">
      <c r="H632" s="132"/>
    </row>
    <row r="633" ht="15.75" customHeight="1">
      <c r="H633" s="132"/>
    </row>
    <row r="634" ht="15.75" customHeight="1">
      <c r="H634" s="132"/>
    </row>
    <row r="635" ht="15.75" customHeight="1">
      <c r="H635" s="132"/>
    </row>
    <row r="636" ht="15.75" customHeight="1">
      <c r="H636" s="132"/>
    </row>
    <row r="637" ht="15.75" customHeight="1">
      <c r="H637" s="132"/>
    </row>
    <row r="638" ht="15.75" customHeight="1">
      <c r="H638" s="132"/>
    </row>
    <row r="639" ht="15.75" customHeight="1">
      <c r="H639" s="132"/>
    </row>
    <row r="640" ht="15.75" customHeight="1">
      <c r="H640" s="132"/>
    </row>
    <row r="641" ht="15.75" customHeight="1">
      <c r="H641" s="132"/>
    </row>
    <row r="642" ht="15.75" customHeight="1">
      <c r="H642" s="132"/>
    </row>
    <row r="643" ht="15.75" customHeight="1">
      <c r="H643" s="132"/>
    </row>
    <row r="644" ht="15.75" customHeight="1">
      <c r="H644" s="132"/>
    </row>
    <row r="645" ht="15.75" customHeight="1">
      <c r="H645" s="132"/>
    </row>
    <row r="646" ht="15.75" customHeight="1">
      <c r="H646" s="132"/>
    </row>
    <row r="647" ht="15.75" customHeight="1">
      <c r="H647" s="132"/>
    </row>
    <row r="648" ht="15.75" customHeight="1">
      <c r="H648" s="132"/>
    </row>
    <row r="649" ht="15.75" customHeight="1">
      <c r="H649" s="132"/>
    </row>
    <row r="650" ht="15.75" customHeight="1">
      <c r="H650" s="132"/>
    </row>
    <row r="651" ht="15.75" customHeight="1">
      <c r="H651" s="132"/>
    </row>
    <row r="652" ht="15.75" customHeight="1">
      <c r="H652" s="132"/>
    </row>
    <row r="653" ht="15.75" customHeight="1">
      <c r="H653" s="132"/>
    </row>
    <row r="654" ht="15.75" customHeight="1">
      <c r="H654" s="132"/>
    </row>
    <row r="655" ht="15.75" customHeight="1">
      <c r="H655" s="132"/>
    </row>
    <row r="656" ht="15.75" customHeight="1">
      <c r="H656" s="132"/>
    </row>
    <row r="657" ht="15.75" customHeight="1">
      <c r="H657" s="132"/>
    </row>
    <row r="658" ht="15.75" customHeight="1">
      <c r="H658" s="132"/>
    </row>
    <row r="659" ht="15.75" customHeight="1">
      <c r="H659" s="132"/>
    </row>
    <row r="660" ht="15.75" customHeight="1">
      <c r="H660" s="132"/>
    </row>
    <row r="661" ht="15.75" customHeight="1">
      <c r="H661" s="132"/>
    </row>
    <row r="662" ht="15.75" customHeight="1">
      <c r="H662" s="132"/>
    </row>
    <row r="663" ht="15.75" customHeight="1">
      <c r="H663" s="132"/>
    </row>
    <row r="664" ht="15.75" customHeight="1">
      <c r="H664" s="132"/>
    </row>
    <row r="665" ht="15.75" customHeight="1">
      <c r="H665" s="132"/>
    </row>
    <row r="666" ht="15.75" customHeight="1">
      <c r="H666" s="132"/>
    </row>
    <row r="667" ht="15.75" customHeight="1">
      <c r="H667" s="132"/>
    </row>
    <row r="668" ht="15.75" customHeight="1">
      <c r="H668" s="132"/>
    </row>
    <row r="669" ht="15.75" customHeight="1">
      <c r="H669" s="132"/>
    </row>
    <row r="670" ht="15.75" customHeight="1">
      <c r="H670" s="132"/>
    </row>
    <row r="671" ht="15.75" customHeight="1">
      <c r="H671" s="132"/>
    </row>
    <row r="672" ht="15.75" customHeight="1">
      <c r="H672" s="132"/>
    </row>
    <row r="673" ht="15.75" customHeight="1">
      <c r="H673" s="132"/>
    </row>
    <row r="674" ht="15.75" customHeight="1">
      <c r="H674" s="132"/>
    </row>
    <row r="675" ht="15.75" customHeight="1">
      <c r="H675" s="132"/>
    </row>
    <row r="676" ht="15.75" customHeight="1">
      <c r="H676" s="132"/>
    </row>
    <row r="677" ht="15.75" customHeight="1">
      <c r="H677" s="132"/>
    </row>
    <row r="678" ht="15.75" customHeight="1">
      <c r="H678" s="132"/>
    </row>
    <row r="679" ht="15.75" customHeight="1">
      <c r="H679" s="132"/>
    </row>
    <row r="680" ht="15.75" customHeight="1">
      <c r="H680" s="132"/>
    </row>
    <row r="681" ht="15.75" customHeight="1">
      <c r="H681" s="132"/>
    </row>
    <row r="682" ht="15.75" customHeight="1">
      <c r="H682" s="132"/>
    </row>
    <row r="683" ht="15.75" customHeight="1">
      <c r="H683" s="132"/>
    </row>
    <row r="684" ht="15.75" customHeight="1">
      <c r="H684" s="132"/>
    </row>
    <row r="685" ht="15.75" customHeight="1">
      <c r="H685" s="132"/>
    </row>
    <row r="686" ht="15.75" customHeight="1">
      <c r="H686" s="132"/>
    </row>
    <row r="687" ht="15.75" customHeight="1">
      <c r="H687" s="132"/>
    </row>
    <row r="688" ht="15.75" customHeight="1">
      <c r="H688" s="132"/>
    </row>
    <row r="689" ht="15.75" customHeight="1">
      <c r="H689" s="132"/>
    </row>
    <row r="690" ht="15.75" customHeight="1">
      <c r="H690" s="132"/>
    </row>
    <row r="691" ht="15.75" customHeight="1">
      <c r="H691" s="132"/>
    </row>
    <row r="692" ht="15.75" customHeight="1">
      <c r="H692" s="132"/>
    </row>
    <row r="693" ht="15.75" customHeight="1">
      <c r="H693" s="132"/>
    </row>
    <row r="694" ht="15.75" customHeight="1">
      <c r="H694" s="132"/>
    </row>
    <row r="695" ht="15.75" customHeight="1">
      <c r="H695" s="132"/>
    </row>
    <row r="696" ht="15.75" customHeight="1">
      <c r="H696" s="132"/>
    </row>
    <row r="697" ht="15.75" customHeight="1">
      <c r="H697" s="132"/>
    </row>
    <row r="698" ht="15.75" customHeight="1">
      <c r="H698" s="132"/>
    </row>
    <row r="699" ht="15.75" customHeight="1">
      <c r="H699" s="132"/>
    </row>
    <row r="700" ht="15.75" customHeight="1">
      <c r="H700" s="132"/>
    </row>
    <row r="701" ht="15.75" customHeight="1">
      <c r="H701" s="132"/>
    </row>
    <row r="702" ht="15.75" customHeight="1">
      <c r="H702" s="132"/>
    </row>
    <row r="703" ht="15.75" customHeight="1">
      <c r="H703" s="132"/>
    </row>
    <row r="704" ht="15.75" customHeight="1">
      <c r="H704" s="132"/>
    </row>
    <row r="705" ht="15.75" customHeight="1">
      <c r="H705" s="132"/>
    </row>
    <row r="706" ht="15.75" customHeight="1">
      <c r="H706" s="132"/>
    </row>
    <row r="707" ht="15.75" customHeight="1">
      <c r="H707" s="132"/>
    </row>
    <row r="708" ht="15.75" customHeight="1">
      <c r="H708" s="132"/>
    </row>
    <row r="709" ht="15.75" customHeight="1">
      <c r="H709" s="132"/>
    </row>
    <row r="710" ht="15.75" customHeight="1">
      <c r="H710" s="132"/>
    </row>
    <row r="711" ht="15.75" customHeight="1">
      <c r="H711" s="132"/>
    </row>
    <row r="712" ht="15.75" customHeight="1">
      <c r="H712" s="132"/>
    </row>
    <row r="713" ht="15.75" customHeight="1">
      <c r="H713" s="132"/>
    </row>
    <row r="714" ht="15.75" customHeight="1">
      <c r="H714" s="132"/>
    </row>
    <row r="715" ht="15.75" customHeight="1">
      <c r="H715" s="132"/>
    </row>
    <row r="716" ht="15.75" customHeight="1">
      <c r="H716" s="132"/>
    </row>
    <row r="717" ht="15.75" customHeight="1">
      <c r="H717" s="132"/>
    </row>
    <row r="718" ht="15.75" customHeight="1">
      <c r="H718" s="132"/>
    </row>
    <row r="719" ht="15.75" customHeight="1">
      <c r="H719" s="132"/>
    </row>
    <row r="720" ht="15.75" customHeight="1">
      <c r="H720" s="132"/>
    </row>
    <row r="721" ht="15.75" customHeight="1">
      <c r="H721" s="132"/>
    </row>
    <row r="722" ht="15.75" customHeight="1">
      <c r="H722" s="132"/>
    </row>
    <row r="723" ht="15.75" customHeight="1">
      <c r="H723" s="132"/>
    </row>
    <row r="724" ht="15.75" customHeight="1">
      <c r="H724" s="132"/>
    </row>
    <row r="725" ht="15.75" customHeight="1">
      <c r="H725" s="132"/>
    </row>
    <row r="726" ht="15.75" customHeight="1">
      <c r="H726" s="132"/>
    </row>
    <row r="727" ht="15.75" customHeight="1">
      <c r="H727" s="132"/>
    </row>
    <row r="728" ht="15.75" customHeight="1">
      <c r="H728" s="132"/>
    </row>
    <row r="729" ht="15.75" customHeight="1">
      <c r="H729" s="132"/>
    </row>
    <row r="730" ht="15.75" customHeight="1">
      <c r="H730" s="132"/>
    </row>
    <row r="731" ht="15.75" customHeight="1">
      <c r="H731" s="132"/>
    </row>
    <row r="732" ht="15.75" customHeight="1">
      <c r="H732" s="132"/>
    </row>
    <row r="733" ht="15.75" customHeight="1">
      <c r="H733" s="132"/>
    </row>
    <row r="734" ht="15.75" customHeight="1">
      <c r="H734" s="132"/>
    </row>
    <row r="735" ht="15.75" customHeight="1">
      <c r="H735" s="132"/>
    </row>
    <row r="736" ht="15.75" customHeight="1">
      <c r="H736" s="132"/>
    </row>
    <row r="737" ht="15.75" customHeight="1">
      <c r="H737" s="132"/>
    </row>
    <row r="738" ht="15.75" customHeight="1">
      <c r="H738" s="132"/>
    </row>
    <row r="739" ht="15.75" customHeight="1">
      <c r="H739" s="132"/>
    </row>
    <row r="740" ht="15.75" customHeight="1">
      <c r="H740" s="132"/>
    </row>
    <row r="741" ht="15.75" customHeight="1">
      <c r="H741" s="132"/>
    </row>
    <row r="742" ht="15.75" customHeight="1">
      <c r="H742" s="132"/>
    </row>
    <row r="743" ht="15.75" customHeight="1">
      <c r="H743" s="132"/>
    </row>
    <row r="744" ht="15.75" customHeight="1">
      <c r="H744" s="132"/>
    </row>
    <row r="745" ht="15.75" customHeight="1">
      <c r="H745" s="132"/>
    </row>
    <row r="746" ht="15.75" customHeight="1">
      <c r="H746" s="132"/>
    </row>
    <row r="747" ht="15.75" customHeight="1">
      <c r="H747" s="132"/>
    </row>
    <row r="748" ht="15.75" customHeight="1">
      <c r="H748" s="132"/>
    </row>
    <row r="749" ht="15.75" customHeight="1">
      <c r="H749" s="132"/>
    </row>
    <row r="750" ht="15.75" customHeight="1">
      <c r="H750" s="132"/>
    </row>
    <row r="751" ht="15.75" customHeight="1">
      <c r="H751" s="132"/>
    </row>
    <row r="752" ht="15.75" customHeight="1">
      <c r="H752" s="132"/>
    </row>
    <row r="753" ht="15.75" customHeight="1">
      <c r="H753" s="132"/>
    </row>
    <row r="754" ht="15.75" customHeight="1">
      <c r="H754" s="132"/>
    </row>
    <row r="755" ht="15.75" customHeight="1">
      <c r="H755" s="132"/>
    </row>
    <row r="756" ht="15.75" customHeight="1">
      <c r="H756" s="132"/>
    </row>
    <row r="757" ht="15.75" customHeight="1">
      <c r="H757" s="132"/>
    </row>
    <row r="758" ht="15.75" customHeight="1">
      <c r="H758" s="132"/>
    </row>
    <row r="759" ht="15.75" customHeight="1">
      <c r="H759" s="132"/>
    </row>
    <row r="760" ht="15.75" customHeight="1">
      <c r="H760" s="132"/>
    </row>
    <row r="761" ht="15.75" customHeight="1">
      <c r="H761" s="132"/>
    </row>
    <row r="762" ht="15.75" customHeight="1">
      <c r="H762" s="132"/>
    </row>
    <row r="763" ht="15.75" customHeight="1">
      <c r="H763" s="132"/>
    </row>
    <row r="764" ht="15.75" customHeight="1">
      <c r="H764" s="132"/>
    </row>
    <row r="765" ht="15.75" customHeight="1">
      <c r="H765" s="132"/>
    </row>
    <row r="766" ht="15.75" customHeight="1">
      <c r="H766" s="132"/>
    </row>
    <row r="767" ht="15.75" customHeight="1">
      <c r="H767" s="132"/>
    </row>
    <row r="768" ht="15.75" customHeight="1">
      <c r="H768" s="132"/>
    </row>
    <row r="769" ht="15.75" customHeight="1">
      <c r="H769" s="132"/>
    </row>
    <row r="770" ht="15.75" customHeight="1">
      <c r="H770" s="132"/>
    </row>
    <row r="771" ht="15.75" customHeight="1">
      <c r="H771" s="132"/>
    </row>
    <row r="772" ht="15.75" customHeight="1">
      <c r="H772" s="132"/>
    </row>
    <row r="773" ht="15.75" customHeight="1">
      <c r="H773" s="132"/>
    </row>
    <row r="774" ht="15.75" customHeight="1">
      <c r="H774" s="132"/>
    </row>
    <row r="775" ht="15.75" customHeight="1">
      <c r="H775" s="132"/>
    </row>
    <row r="776" ht="15.75" customHeight="1">
      <c r="H776" s="132"/>
    </row>
    <row r="777" ht="15.75" customHeight="1">
      <c r="H777" s="132"/>
    </row>
    <row r="778" ht="15.75" customHeight="1">
      <c r="H778" s="132"/>
    </row>
    <row r="779" ht="15.75" customHeight="1">
      <c r="H779" s="132"/>
    </row>
    <row r="780" ht="15.75" customHeight="1">
      <c r="H780" s="132"/>
    </row>
    <row r="781" ht="15.75" customHeight="1">
      <c r="H781" s="132"/>
    </row>
    <row r="782" ht="15.75" customHeight="1">
      <c r="H782" s="132"/>
    </row>
    <row r="783" ht="15.75" customHeight="1">
      <c r="H783" s="132"/>
    </row>
    <row r="784" ht="15.75" customHeight="1">
      <c r="H784" s="132"/>
    </row>
    <row r="785" ht="15.75" customHeight="1">
      <c r="H785" s="132"/>
    </row>
    <row r="786" ht="15.75" customHeight="1">
      <c r="H786" s="132"/>
    </row>
    <row r="787" ht="15.75" customHeight="1">
      <c r="H787" s="132"/>
    </row>
    <row r="788" ht="15.75" customHeight="1">
      <c r="H788" s="132"/>
    </row>
    <row r="789" ht="15.75" customHeight="1">
      <c r="H789" s="132"/>
    </row>
    <row r="790" ht="15.75" customHeight="1">
      <c r="H790" s="132"/>
    </row>
    <row r="791" ht="15.75" customHeight="1">
      <c r="H791" s="132"/>
    </row>
    <row r="792" ht="15.75" customHeight="1">
      <c r="H792" s="132"/>
    </row>
    <row r="793" ht="15.75" customHeight="1">
      <c r="H793" s="132"/>
    </row>
    <row r="794" ht="15.75" customHeight="1">
      <c r="H794" s="132"/>
    </row>
    <row r="795" ht="15.75" customHeight="1">
      <c r="H795" s="132"/>
    </row>
    <row r="796" ht="15.75" customHeight="1">
      <c r="H796" s="132"/>
    </row>
    <row r="797" ht="15.75" customHeight="1">
      <c r="H797" s="132"/>
    </row>
    <row r="798" ht="15.75" customHeight="1">
      <c r="H798" s="132"/>
    </row>
    <row r="799" ht="15.75" customHeight="1">
      <c r="H799" s="132"/>
    </row>
    <row r="800" ht="15.75" customHeight="1">
      <c r="H800" s="132"/>
    </row>
    <row r="801" ht="15.75" customHeight="1">
      <c r="H801" s="132"/>
    </row>
    <row r="802" ht="15.75" customHeight="1">
      <c r="H802" s="132"/>
    </row>
    <row r="803" ht="15.75" customHeight="1">
      <c r="H803" s="132"/>
    </row>
    <row r="804" ht="15.75" customHeight="1">
      <c r="H804" s="132"/>
    </row>
    <row r="805" ht="15.75" customHeight="1">
      <c r="H805" s="132"/>
    </row>
    <row r="806" ht="15.75" customHeight="1">
      <c r="H806" s="132"/>
    </row>
    <row r="807" ht="15.75" customHeight="1">
      <c r="H807" s="132"/>
    </row>
    <row r="808" ht="15.75" customHeight="1">
      <c r="H808" s="132"/>
    </row>
    <row r="809" ht="15.75" customHeight="1">
      <c r="H809" s="132"/>
    </row>
    <row r="810" ht="15.75" customHeight="1">
      <c r="H810" s="132"/>
    </row>
    <row r="811" ht="15.75" customHeight="1">
      <c r="H811" s="132"/>
    </row>
    <row r="812" ht="15.75" customHeight="1">
      <c r="H812" s="132"/>
    </row>
    <row r="813" ht="15.75" customHeight="1">
      <c r="H813" s="132"/>
    </row>
    <row r="814" ht="15.75" customHeight="1">
      <c r="H814" s="132"/>
    </row>
    <row r="815" ht="15.75" customHeight="1">
      <c r="H815" s="132"/>
    </row>
    <row r="816" ht="15.75" customHeight="1">
      <c r="H816" s="132"/>
    </row>
    <row r="817" ht="15.75" customHeight="1">
      <c r="H817" s="132"/>
    </row>
    <row r="818" ht="15.75" customHeight="1">
      <c r="H818" s="132"/>
    </row>
    <row r="819" ht="15.75" customHeight="1">
      <c r="H819" s="132"/>
    </row>
    <row r="820" ht="15.75" customHeight="1">
      <c r="H820" s="132"/>
    </row>
    <row r="821" ht="15.75" customHeight="1">
      <c r="H821" s="132"/>
    </row>
    <row r="822" ht="15.75" customHeight="1">
      <c r="H822" s="132"/>
    </row>
    <row r="823" ht="15.75" customHeight="1">
      <c r="H823" s="132"/>
    </row>
    <row r="824" ht="15.75" customHeight="1">
      <c r="H824" s="132"/>
    </row>
    <row r="825" ht="15.75" customHeight="1">
      <c r="H825" s="132"/>
    </row>
    <row r="826" ht="15.75" customHeight="1">
      <c r="H826" s="132"/>
    </row>
    <row r="827" ht="15.75" customHeight="1">
      <c r="H827" s="132"/>
    </row>
    <row r="828" ht="15.75" customHeight="1">
      <c r="H828" s="132"/>
    </row>
    <row r="829" ht="15.75" customHeight="1">
      <c r="H829" s="132"/>
    </row>
    <row r="830" ht="15.75" customHeight="1">
      <c r="H830" s="132"/>
    </row>
    <row r="831" ht="15.75" customHeight="1">
      <c r="H831" s="132"/>
    </row>
    <row r="832" ht="15.75" customHeight="1">
      <c r="H832" s="132"/>
    </row>
    <row r="833" ht="15.75" customHeight="1">
      <c r="H833" s="132"/>
    </row>
    <row r="834" ht="15.75" customHeight="1">
      <c r="H834" s="132"/>
    </row>
    <row r="835" ht="15.75" customHeight="1">
      <c r="H835" s="132"/>
    </row>
    <row r="836" ht="15.75" customHeight="1">
      <c r="H836" s="132"/>
    </row>
    <row r="837" ht="15.75" customHeight="1">
      <c r="H837" s="132"/>
    </row>
    <row r="838" ht="15.75" customHeight="1">
      <c r="H838" s="132"/>
    </row>
    <row r="839" ht="15.75" customHeight="1">
      <c r="H839" s="132"/>
    </row>
    <row r="840" ht="15.75" customHeight="1">
      <c r="H840" s="132"/>
    </row>
    <row r="841" ht="15.75" customHeight="1">
      <c r="H841" s="132"/>
    </row>
    <row r="842" ht="15.75" customHeight="1">
      <c r="H842" s="132"/>
    </row>
    <row r="843" ht="15.75" customHeight="1">
      <c r="H843" s="132"/>
    </row>
    <row r="844" ht="15.75" customHeight="1">
      <c r="H844" s="132"/>
    </row>
    <row r="845" ht="15.75" customHeight="1">
      <c r="H845" s="132"/>
    </row>
    <row r="846" ht="15.75" customHeight="1">
      <c r="H846" s="132"/>
    </row>
    <row r="847" ht="15.75" customHeight="1">
      <c r="H847" s="132"/>
    </row>
    <row r="848" ht="15.75" customHeight="1">
      <c r="H848" s="132"/>
    </row>
    <row r="849" ht="15.75" customHeight="1">
      <c r="H849" s="132"/>
    </row>
    <row r="850" ht="15.75" customHeight="1">
      <c r="H850" s="132"/>
    </row>
    <row r="851" ht="15.75" customHeight="1">
      <c r="H851" s="132"/>
    </row>
    <row r="852" ht="15.75" customHeight="1">
      <c r="H852" s="132"/>
    </row>
    <row r="853" ht="15.75" customHeight="1">
      <c r="H853" s="132"/>
    </row>
    <row r="854" ht="15.75" customHeight="1">
      <c r="H854" s="132"/>
    </row>
    <row r="855" ht="15.75" customHeight="1">
      <c r="H855" s="132"/>
    </row>
    <row r="856" ht="15.75" customHeight="1">
      <c r="H856" s="132"/>
    </row>
    <row r="857" ht="15.75" customHeight="1">
      <c r="H857" s="132"/>
    </row>
    <row r="858" ht="15.75" customHeight="1">
      <c r="H858" s="132"/>
    </row>
    <row r="859" ht="15.75" customHeight="1">
      <c r="H859" s="132"/>
    </row>
    <row r="860" ht="15.75" customHeight="1">
      <c r="H860" s="132"/>
    </row>
    <row r="861" ht="15.75" customHeight="1">
      <c r="H861" s="132"/>
    </row>
    <row r="862" ht="15.75" customHeight="1">
      <c r="H862" s="132"/>
    </row>
    <row r="863" ht="15.75" customHeight="1">
      <c r="H863" s="132"/>
    </row>
    <row r="864" ht="15.75" customHeight="1">
      <c r="H864" s="132"/>
    </row>
    <row r="865" ht="15.75" customHeight="1">
      <c r="H865" s="132"/>
    </row>
    <row r="866" ht="15.75" customHeight="1">
      <c r="H866" s="132"/>
    </row>
    <row r="867" ht="15.75" customHeight="1">
      <c r="H867" s="132"/>
    </row>
    <row r="868" ht="15.75" customHeight="1">
      <c r="H868" s="132"/>
    </row>
    <row r="869" ht="15.75" customHeight="1">
      <c r="H869" s="132"/>
    </row>
    <row r="870" ht="15.75" customHeight="1">
      <c r="H870" s="132"/>
    </row>
    <row r="871" ht="15.75" customHeight="1">
      <c r="H871" s="132"/>
    </row>
    <row r="872" ht="15.75" customHeight="1">
      <c r="H872" s="132"/>
    </row>
    <row r="873" ht="15.75" customHeight="1">
      <c r="H873" s="132"/>
    </row>
    <row r="874" ht="15.75" customHeight="1">
      <c r="H874" s="132"/>
    </row>
    <row r="875" ht="15.75" customHeight="1">
      <c r="H875" s="132"/>
    </row>
    <row r="876" ht="15.75" customHeight="1">
      <c r="H876" s="132"/>
    </row>
    <row r="877" ht="15.75" customHeight="1">
      <c r="H877" s="132"/>
    </row>
    <row r="878" ht="15.75" customHeight="1">
      <c r="H878" s="132"/>
    </row>
    <row r="879" ht="15.75" customHeight="1">
      <c r="H879" s="132"/>
    </row>
    <row r="880" ht="15.75" customHeight="1">
      <c r="H880" s="132"/>
    </row>
    <row r="881" ht="15.75" customHeight="1">
      <c r="H881" s="132"/>
    </row>
    <row r="882" ht="15.75" customHeight="1">
      <c r="H882" s="132"/>
    </row>
    <row r="883" ht="15.75" customHeight="1">
      <c r="H883" s="132"/>
    </row>
    <row r="884" ht="15.75" customHeight="1">
      <c r="H884" s="132"/>
    </row>
    <row r="885" ht="15.75" customHeight="1">
      <c r="H885" s="132"/>
    </row>
    <row r="886" ht="15.75" customHeight="1">
      <c r="H886" s="132"/>
    </row>
    <row r="887" ht="15.75" customHeight="1">
      <c r="H887" s="132"/>
    </row>
    <row r="888" ht="15.75" customHeight="1">
      <c r="H888" s="132"/>
    </row>
    <row r="889" ht="15.75" customHeight="1">
      <c r="H889" s="132"/>
    </row>
    <row r="890" ht="15.75" customHeight="1">
      <c r="H890" s="132"/>
    </row>
    <row r="891" ht="15.75" customHeight="1">
      <c r="H891" s="132"/>
    </row>
    <row r="892" ht="15.75" customHeight="1">
      <c r="H892" s="132"/>
    </row>
    <row r="893" ht="15.75" customHeight="1">
      <c r="H893" s="132"/>
    </row>
    <row r="894" ht="15.75" customHeight="1">
      <c r="H894" s="132"/>
    </row>
    <row r="895" ht="15.75" customHeight="1">
      <c r="H895" s="132"/>
    </row>
    <row r="896" ht="15.75" customHeight="1">
      <c r="H896" s="132"/>
    </row>
    <row r="897" ht="15.75" customHeight="1">
      <c r="H897" s="132"/>
    </row>
    <row r="898" ht="15.75" customHeight="1">
      <c r="H898" s="132"/>
    </row>
    <row r="899" ht="15.75" customHeight="1">
      <c r="H899" s="132"/>
    </row>
    <row r="900" ht="15.75" customHeight="1">
      <c r="H900" s="132"/>
    </row>
    <row r="901" ht="15.75" customHeight="1">
      <c r="H901" s="132"/>
    </row>
    <row r="902" ht="15.75" customHeight="1">
      <c r="H902" s="132"/>
    </row>
    <row r="903" ht="15.75" customHeight="1">
      <c r="H903" s="132"/>
    </row>
    <row r="904" ht="15.75" customHeight="1">
      <c r="H904" s="132"/>
    </row>
    <row r="905" ht="15.75" customHeight="1">
      <c r="H905" s="132"/>
    </row>
    <row r="906" ht="15.75" customHeight="1">
      <c r="H906" s="132"/>
    </row>
    <row r="907" ht="15.75" customHeight="1">
      <c r="H907" s="132"/>
    </row>
    <row r="908" ht="15.75" customHeight="1">
      <c r="H908" s="132"/>
    </row>
    <row r="909" ht="15.75" customHeight="1">
      <c r="H909" s="132"/>
    </row>
    <row r="910" ht="15.75" customHeight="1">
      <c r="H910" s="132"/>
    </row>
    <row r="911" ht="15.75" customHeight="1">
      <c r="H911" s="132"/>
    </row>
    <row r="912" ht="15.75" customHeight="1">
      <c r="H912" s="132"/>
    </row>
    <row r="913" ht="15.75" customHeight="1">
      <c r="H913" s="132"/>
    </row>
    <row r="914" ht="15.75" customHeight="1">
      <c r="H914" s="132"/>
    </row>
    <row r="915" ht="15.75" customHeight="1">
      <c r="H915" s="132"/>
    </row>
    <row r="916" ht="15.75" customHeight="1">
      <c r="H916" s="132"/>
    </row>
    <row r="917" ht="15.75" customHeight="1">
      <c r="H917" s="132"/>
    </row>
    <row r="918" ht="15.75" customHeight="1">
      <c r="H918" s="132"/>
    </row>
    <row r="919" ht="15.75" customHeight="1">
      <c r="H919" s="132"/>
    </row>
    <row r="920" ht="15.75" customHeight="1">
      <c r="H920" s="132"/>
    </row>
    <row r="921" ht="15.75" customHeight="1">
      <c r="H921" s="132"/>
    </row>
    <row r="922" ht="15.75" customHeight="1">
      <c r="H922" s="132"/>
    </row>
    <row r="923" ht="15.75" customHeight="1">
      <c r="H923" s="132"/>
    </row>
    <row r="924" ht="15.75" customHeight="1">
      <c r="H924" s="132"/>
    </row>
    <row r="925" ht="15.75" customHeight="1">
      <c r="H925" s="132"/>
    </row>
    <row r="926" ht="15.75" customHeight="1">
      <c r="H926" s="132"/>
    </row>
    <row r="927" ht="15.75" customHeight="1">
      <c r="H927" s="132"/>
    </row>
    <row r="928" ht="15.75" customHeight="1">
      <c r="H928" s="132"/>
    </row>
    <row r="929" ht="15.75" customHeight="1">
      <c r="H929" s="132"/>
    </row>
    <row r="930" ht="15.75" customHeight="1">
      <c r="H930" s="132"/>
    </row>
    <row r="931" ht="15.75" customHeight="1">
      <c r="H931" s="132"/>
    </row>
    <row r="932" ht="15.75" customHeight="1">
      <c r="H932" s="132"/>
    </row>
    <row r="933" ht="15.75" customHeight="1">
      <c r="H933" s="132"/>
    </row>
    <row r="934" ht="15.75" customHeight="1">
      <c r="H934" s="132"/>
    </row>
    <row r="935" ht="15.75" customHeight="1">
      <c r="H935" s="132"/>
    </row>
    <row r="936" ht="15.75" customHeight="1">
      <c r="H936" s="132"/>
    </row>
    <row r="937" ht="15.75" customHeight="1">
      <c r="H937" s="132"/>
    </row>
    <row r="938" ht="15.75" customHeight="1">
      <c r="H938" s="132"/>
    </row>
    <row r="939" ht="15.75" customHeight="1">
      <c r="H939" s="132"/>
    </row>
    <row r="940" ht="15.75" customHeight="1">
      <c r="H940" s="132"/>
    </row>
    <row r="941" ht="15.75" customHeight="1">
      <c r="H941" s="132"/>
    </row>
    <row r="942" ht="15.75" customHeight="1">
      <c r="H942" s="132"/>
    </row>
    <row r="943" ht="15.75" customHeight="1">
      <c r="H943" s="132"/>
    </row>
    <row r="944" ht="15.75" customHeight="1">
      <c r="H944" s="132"/>
    </row>
    <row r="945" ht="15.75" customHeight="1">
      <c r="H945" s="132"/>
    </row>
    <row r="946" ht="15.75" customHeight="1">
      <c r="H946" s="132"/>
    </row>
    <row r="947" ht="15.75" customHeight="1">
      <c r="H947" s="132"/>
    </row>
    <row r="948" ht="15.75" customHeight="1">
      <c r="H948" s="132"/>
    </row>
    <row r="949" ht="15.75" customHeight="1">
      <c r="H949" s="132"/>
    </row>
    <row r="950" ht="15.75" customHeight="1">
      <c r="H950" s="132"/>
    </row>
    <row r="951" ht="15.75" customHeight="1">
      <c r="H951" s="132"/>
    </row>
    <row r="952" ht="15.75" customHeight="1">
      <c r="H952" s="132"/>
    </row>
    <row r="953" ht="15.75" customHeight="1">
      <c r="H953" s="132"/>
    </row>
    <row r="954" ht="15.75" customHeight="1">
      <c r="H954" s="132"/>
    </row>
    <row r="955" ht="15.75" customHeight="1">
      <c r="H955" s="132"/>
    </row>
    <row r="956" ht="15.75" customHeight="1">
      <c r="H956" s="132"/>
    </row>
    <row r="957" ht="15.75" customHeight="1">
      <c r="H957" s="132"/>
    </row>
    <row r="958" ht="15.75" customHeight="1">
      <c r="H958" s="132"/>
    </row>
    <row r="959" ht="15.75" customHeight="1">
      <c r="H959" s="132"/>
    </row>
    <row r="960" ht="15.75" customHeight="1">
      <c r="H960" s="132"/>
    </row>
    <row r="961" ht="15.75" customHeight="1">
      <c r="H961" s="132"/>
    </row>
    <row r="962" ht="15.75" customHeight="1">
      <c r="H962" s="132"/>
    </row>
    <row r="963" ht="15.75" customHeight="1">
      <c r="H963" s="132"/>
    </row>
    <row r="964" ht="15.75" customHeight="1">
      <c r="H964" s="132"/>
    </row>
    <row r="965" ht="15.75" customHeight="1">
      <c r="H965" s="132"/>
    </row>
    <row r="966" ht="15.75" customHeight="1">
      <c r="H966" s="132"/>
    </row>
    <row r="967" ht="15.75" customHeight="1">
      <c r="H967" s="132"/>
    </row>
    <row r="968" ht="15.75" customHeight="1">
      <c r="H968" s="132"/>
    </row>
    <row r="969" ht="15.75" customHeight="1">
      <c r="H969" s="132"/>
    </row>
    <row r="970" ht="15.75" customHeight="1">
      <c r="H970" s="132"/>
    </row>
    <row r="971" ht="15.75" customHeight="1">
      <c r="H971" s="132"/>
    </row>
    <row r="972" ht="15.75" customHeight="1">
      <c r="H972" s="132"/>
    </row>
    <row r="973" ht="15.75" customHeight="1">
      <c r="H973" s="132"/>
    </row>
    <row r="974" ht="15.75" customHeight="1">
      <c r="H974" s="132"/>
    </row>
    <row r="975" ht="15.75" customHeight="1">
      <c r="H975" s="132"/>
    </row>
    <row r="976" ht="15.75" customHeight="1">
      <c r="H976" s="132"/>
    </row>
    <row r="977" ht="15.75" customHeight="1">
      <c r="H977" s="132"/>
    </row>
    <row r="978" ht="15.75" customHeight="1">
      <c r="H978" s="132"/>
    </row>
    <row r="979" ht="15.75" customHeight="1">
      <c r="H979" s="132"/>
    </row>
    <row r="980" ht="15.75" customHeight="1">
      <c r="H980" s="132"/>
    </row>
    <row r="981" ht="15.75" customHeight="1">
      <c r="H981" s="132"/>
    </row>
    <row r="982" ht="15.75" customHeight="1">
      <c r="H982" s="132"/>
    </row>
    <row r="983" ht="15.75" customHeight="1">
      <c r="H983" s="132"/>
    </row>
    <row r="984" ht="15.75" customHeight="1">
      <c r="H984" s="132"/>
    </row>
    <row r="985" ht="15.75" customHeight="1">
      <c r="H985" s="132"/>
    </row>
    <row r="986" ht="15.75" customHeight="1">
      <c r="H986" s="132"/>
    </row>
    <row r="987" ht="15.75" customHeight="1">
      <c r="H987" s="132"/>
    </row>
    <row r="988" ht="15.75" customHeight="1">
      <c r="H988" s="132"/>
    </row>
    <row r="989" ht="15.75" customHeight="1">
      <c r="H989" s="132"/>
    </row>
    <row r="990" ht="15.75" customHeight="1">
      <c r="H990" s="132"/>
    </row>
    <row r="991" ht="15.75" customHeight="1">
      <c r="H991" s="132"/>
    </row>
    <row r="992" ht="15.75" customHeight="1">
      <c r="H992" s="132"/>
    </row>
    <row r="993" ht="15.75" customHeight="1">
      <c r="H993" s="132"/>
    </row>
    <row r="994" ht="15.75" customHeight="1">
      <c r="H994" s="132"/>
    </row>
    <row r="995" ht="15.75" customHeight="1">
      <c r="H995" s="132"/>
    </row>
    <row r="996" ht="15.75" customHeight="1">
      <c r="H996" s="132"/>
    </row>
    <row r="997" ht="15.75" customHeight="1">
      <c r="H997" s="132"/>
    </row>
    <row r="998" ht="15.75" customHeight="1">
      <c r="H998" s="132"/>
    </row>
    <row r="999" ht="15.75" customHeight="1">
      <c r="H999" s="132"/>
    </row>
    <row r="1000" ht="15.75" customHeight="1">
      <c r="H1000" s="132"/>
    </row>
    <row r="1001" ht="15.75" customHeight="1">
      <c r="H1001" s="132"/>
    </row>
    <row r="1002" ht="15.75" customHeight="1">
      <c r="H1002" s="132"/>
    </row>
    <row r="1003" ht="15.75" customHeight="1">
      <c r="H1003" s="132"/>
    </row>
    <row r="1004" ht="15.75" customHeight="1">
      <c r="H1004" s="132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6">
        <v>2.968</v>
      </c>
      <c r="D7" s="36">
        <v>2.362</v>
      </c>
      <c r="E7" s="36">
        <v>1.575</v>
      </c>
      <c r="F7" s="36">
        <v>0.307</v>
      </c>
      <c r="G7" s="36">
        <v>3.507</v>
      </c>
      <c r="H7" s="36">
        <v>1.812</v>
      </c>
      <c r="I7" s="36">
        <v>1.461</v>
      </c>
      <c r="J7" s="36">
        <v>0.521</v>
      </c>
      <c r="K7" s="36">
        <v>0.438</v>
      </c>
      <c r="L7" s="36">
        <v>1.864</v>
      </c>
      <c r="M7" s="37">
        <v>2.615</v>
      </c>
      <c r="N7" s="36">
        <v>0.618</v>
      </c>
      <c r="O7" s="36">
        <v>0.298</v>
      </c>
      <c r="P7" s="36">
        <v>0.417</v>
      </c>
      <c r="Q7" s="36">
        <v>0.282</v>
      </c>
      <c r="R7" s="36">
        <v>1.776</v>
      </c>
      <c r="S7" s="36">
        <v>1.212</v>
      </c>
      <c r="T7" s="40">
        <v>0.987</v>
      </c>
      <c r="U7" s="40">
        <v>0.817</v>
      </c>
      <c r="V7" s="40">
        <v>2.295</v>
      </c>
      <c r="W7" s="40">
        <v>2.387</v>
      </c>
      <c r="X7" s="40">
        <v>1.765</v>
      </c>
      <c r="Y7" s="40">
        <v>0.697</v>
      </c>
      <c r="Z7" s="40">
        <v>0.426</v>
      </c>
    </row>
    <row r="8" ht="15.75" customHeight="1">
      <c r="A8" s="29"/>
      <c r="B8" s="17"/>
      <c r="C8" s="44">
        <v>1.807</v>
      </c>
      <c r="D8" s="44">
        <v>1.859</v>
      </c>
      <c r="E8" s="44">
        <v>4.9</v>
      </c>
      <c r="F8" s="44">
        <v>0.143</v>
      </c>
      <c r="G8" s="44">
        <v>3.422</v>
      </c>
      <c r="H8" s="44">
        <v>1.25</v>
      </c>
      <c r="I8" s="44">
        <v>0.693</v>
      </c>
      <c r="J8" s="44">
        <v>0.585</v>
      </c>
      <c r="K8" s="44">
        <v>1.228</v>
      </c>
      <c r="L8" s="44">
        <v>2.576</v>
      </c>
      <c r="M8" s="46">
        <v>3.534</v>
      </c>
      <c r="N8" s="44">
        <v>1.61</v>
      </c>
      <c r="O8" s="44">
        <v>1.483</v>
      </c>
      <c r="P8" s="44">
        <v>0.51</v>
      </c>
      <c r="Q8" s="44">
        <v>1.979</v>
      </c>
      <c r="R8" s="44">
        <v>1.359</v>
      </c>
      <c r="S8" s="44">
        <v>0.763</v>
      </c>
      <c r="T8" s="48">
        <v>1.379</v>
      </c>
      <c r="U8" s="48">
        <v>0.45</v>
      </c>
      <c r="V8" s="48">
        <v>2.959</v>
      </c>
      <c r="W8" s="48">
        <v>2.15</v>
      </c>
      <c r="X8" s="48">
        <v>1.652</v>
      </c>
      <c r="Y8" s="48">
        <v>1.213</v>
      </c>
      <c r="Z8" s="48">
        <v>0.505</v>
      </c>
    </row>
    <row r="9" ht="15.75" customHeight="1">
      <c r="A9" s="29"/>
      <c r="B9" s="17"/>
      <c r="C9" s="44">
        <v>1.362</v>
      </c>
      <c r="D9" s="44">
        <v>4.998</v>
      </c>
      <c r="E9" s="44">
        <v>1.639</v>
      </c>
      <c r="F9" s="44">
        <v>0.269</v>
      </c>
      <c r="G9" s="44">
        <v>3.221</v>
      </c>
      <c r="H9" s="44">
        <v>1.725</v>
      </c>
      <c r="I9" s="44">
        <v>1.002</v>
      </c>
      <c r="J9" s="44">
        <v>0.389</v>
      </c>
      <c r="K9" s="44">
        <v>0.838</v>
      </c>
      <c r="L9" s="44">
        <v>3.916</v>
      </c>
      <c r="M9" s="46">
        <v>3.057</v>
      </c>
      <c r="N9" s="44">
        <v>1.531</v>
      </c>
      <c r="O9" s="44">
        <v>1.0</v>
      </c>
      <c r="P9" s="44">
        <v>0.47</v>
      </c>
      <c r="Q9" s="44">
        <v>3.195</v>
      </c>
      <c r="R9" s="44">
        <v>1.034</v>
      </c>
      <c r="S9" s="44">
        <v>0.785</v>
      </c>
      <c r="T9" s="48">
        <v>1.147</v>
      </c>
      <c r="U9" s="48">
        <v>0.428</v>
      </c>
      <c r="V9" s="48">
        <v>2.851</v>
      </c>
      <c r="W9" s="48">
        <v>0.178</v>
      </c>
      <c r="X9" s="48">
        <v>1.609</v>
      </c>
      <c r="Y9" s="48">
        <v>0.605</v>
      </c>
      <c r="Z9" s="48">
        <v>0.644</v>
      </c>
    </row>
    <row r="10" ht="15.75" customHeight="1">
      <c r="A10" s="29"/>
      <c r="B10" s="17"/>
      <c r="C10" s="133">
        <v>3.916</v>
      </c>
      <c r="D10" s="133">
        <v>3.859</v>
      </c>
      <c r="E10" s="133">
        <v>1.75</v>
      </c>
      <c r="F10" s="44">
        <v>0.316</v>
      </c>
      <c r="G10" s="44">
        <v>3.967</v>
      </c>
      <c r="H10" s="44">
        <v>2.151</v>
      </c>
      <c r="I10" s="44">
        <v>1.713</v>
      </c>
      <c r="J10" s="44">
        <v>0.615</v>
      </c>
      <c r="K10" s="44">
        <v>0.261</v>
      </c>
      <c r="L10" s="44">
        <v>3.094</v>
      </c>
      <c r="M10" s="46">
        <v>1.644</v>
      </c>
      <c r="N10" s="44">
        <v>1.54</v>
      </c>
      <c r="O10" s="44">
        <v>0.968</v>
      </c>
      <c r="P10" s="44">
        <v>0.484</v>
      </c>
      <c r="Q10" s="44">
        <v>1.879</v>
      </c>
      <c r="R10" s="44">
        <v>1.375</v>
      </c>
      <c r="S10" s="44">
        <v>0.811</v>
      </c>
      <c r="T10" s="48">
        <v>0.843</v>
      </c>
      <c r="U10" s="48">
        <v>0.556</v>
      </c>
      <c r="V10" s="48">
        <v>0.692</v>
      </c>
      <c r="W10" s="48">
        <v>1.848</v>
      </c>
      <c r="X10" s="48">
        <v>1.638</v>
      </c>
      <c r="Y10" s="48">
        <v>0.927</v>
      </c>
      <c r="Z10" s="48">
        <v>0.898</v>
      </c>
    </row>
    <row r="11" ht="15.75" customHeight="1">
      <c r="A11" s="29"/>
      <c r="B11" s="17"/>
      <c r="C11" s="133">
        <v>0.356</v>
      </c>
      <c r="D11" s="133">
        <v>2.51</v>
      </c>
      <c r="E11" s="133">
        <v>1.548</v>
      </c>
      <c r="F11" s="44">
        <v>0.231</v>
      </c>
      <c r="G11" s="44">
        <v>3.276</v>
      </c>
      <c r="H11" s="44">
        <v>2.142</v>
      </c>
      <c r="I11" s="44">
        <v>0.894</v>
      </c>
      <c r="J11" s="44">
        <v>0.725</v>
      </c>
      <c r="K11" s="44">
        <v>0.733</v>
      </c>
      <c r="L11" s="44">
        <v>3.362</v>
      </c>
      <c r="M11" s="46">
        <v>3.315</v>
      </c>
      <c r="N11" s="44">
        <v>1.807</v>
      </c>
      <c r="O11" s="44">
        <v>1.345</v>
      </c>
      <c r="P11" s="44">
        <v>1.55</v>
      </c>
      <c r="Q11" s="44">
        <v>2.823</v>
      </c>
      <c r="R11" s="44">
        <v>1.723</v>
      </c>
      <c r="S11" s="44">
        <v>1.104</v>
      </c>
      <c r="T11" s="48">
        <v>1.15</v>
      </c>
      <c r="U11" s="48">
        <v>0.395</v>
      </c>
      <c r="V11" s="48">
        <v>3.37</v>
      </c>
      <c r="W11" s="48">
        <v>2.526</v>
      </c>
      <c r="X11" s="48">
        <v>1.762</v>
      </c>
      <c r="Y11" s="48">
        <v>0.744</v>
      </c>
      <c r="Z11" s="48">
        <v>1.138</v>
      </c>
    </row>
    <row r="12" ht="15.75" customHeight="1">
      <c r="A12" s="29"/>
      <c r="B12" s="17"/>
      <c r="C12" s="133">
        <v>2.918</v>
      </c>
      <c r="D12" s="133">
        <v>4.713</v>
      </c>
      <c r="E12" s="133">
        <v>1.859</v>
      </c>
      <c r="F12" s="44">
        <v>0.188</v>
      </c>
      <c r="G12" s="44">
        <v>2.213</v>
      </c>
      <c r="H12" s="44">
        <v>1.687</v>
      </c>
      <c r="I12" s="44">
        <v>2.126</v>
      </c>
      <c r="J12" s="44">
        <v>0.96</v>
      </c>
      <c r="K12" s="44">
        <v>0.651</v>
      </c>
      <c r="L12" s="44">
        <v>0.181</v>
      </c>
      <c r="M12" s="46">
        <v>2.524</v>
      </c>
      <c r="N12" s="44">
        <v>0.112</v>
      </c>
      <c r="O12" s="44">
        <v>1.762</v>
      </c>
      <c r="P12" s="44">
        <v>1.21</v>
      </c>
      <c r="Q12" s="44">
        <v>3.7</v>
      </c>
      <c r="R12" s="44">
        <v>1.331</v>
      </c>
      <c r="S12" s="44">
        <v>1.685</v>
      </c>
      <c r="T12" s="48">
        <v>1.333</v>
      </c>
      <c r="U12" s="48">
        <v>1.015</v>
      </c>
      <c r="V12" s="48">
        <v>3.097</v>
      </c>
      <c r="W12" s="48">
        <v>2.034</v>
      </c>
      <c r="X12" s="48">
        <v>1.954</v>
      </c>
      <c r="Y12" s="48">
        <v>1.066</v>
      </c>
      <c r="Z12" s="48">
        <v>0.794</v>
      </c>
    </row>
    <row r="13" ht="15.75" customHeight="1">
      <c r="A13" s="29"/>
      <c r="B13" s="17"/>
      <c r="C13" s="133">
        <v>0.302</v>
      </c>
      <c r="D13" s="133">
        <v>4.163</v>
      </c>
      <c r="E13" s="133">
        <v>4.186</v>
      </c>
      <c r="F13" s="44">
        <v>0.316</v>
      </c>
      <c r="G13" s="44">
        <v>3.623</v>
      </c>
      <c r="H13" s="44">
        <v>1.389</v>
      </c>
      <c r="I13" s="44">
        <v>1.804</v>
      </c>
      <c r="J13" s="44">
        <v>0.56</v>
      </c>
      <c r="K13" s="44">
        <v>0.767</v>
      </c>
      <c r="L13" s="44">
        <v>2.487</v>
      </c>
      <c r="M13" s="46">
        <v>2.204</v>
      </c>
      <c r="N13" s="44">
        <v>1.297</v>
      </c>
      <c r="O13" s="44">
        <v>1.049</v>
      </c>
      <c r="P13" s="44">
        <v>0.77</v>
      </c>
      <c r="Q13" s="44">
        <v>0.088</v>
      </c>
      <c r="R13" s="44">
        <v>0.891</v>
      </c>
      <c r="S13" s="44">
        <v>1.077</v>
      </c>
      <c r="T13" s="48">
        <v>0.924</v>
      </c>
      <c r="U13" s="48">
        <v>0.602</v>
      </c>
      <c r="V13" s="48">
        <v>3.564</v>
      </c>
      <c r="W13" s="48">
        <v>1.894</v>
      </c>
      <c r="X13" s="48">
        <v>1.49</v>
      </c>
      <c r="Y13" s="48">
        <v>0.464</v>
      </c>
      <c r="Z13" s="48">
        <v>0.398</v>
      </c>
    </row>
    <row r="14" ht="15.75" customHeight="1">
      <c r="A14" s="29"/>
      <c r="B14" s="17"/>
      <c r="C14" s="133">
        <v>1.897</v>
      </c>
      <c r="D14" s="133">
        <v>0.341</v>
      </c>
      <c r="E14" s="133">
        <v>2.075</v>
      </c>
      <c r="F14" s="44">
        <v>0.298</v>
      </c>
      <c r="G14" s="44">
        <v>3.091</v>
      </c>
      <c r="H14" s="44">
        <v>0.352</v>
      </c>
      <c r="I14" s="44">
        <v>1.668</v>
      </c>
      <c r="J14" s="44">
        <v>0.861</v>
      </c>
      <c r="K14" s="44">
        <v>0.4</v>
      </c>
      <c r="L14" s="44">
        <v>3.894</v>
      </c>
      <c r="M14" s="46">
        <v>0.245</v>
      </c>
      <c r="N14" s="44">
        <v>0.107</v>
      </c>
      <c r="O14" s="44">
        <v>0.403</v>
      </c>
      <c r="P14" s="44"/>
      <c r="Q14" s="44">
        <v>2.625</v>
      </c>
      <c r="R14" s="44">
        <v>1.951</v>
      </c>
      <c r="S14" s="44">
        <v>1.952</v>
      </c>
      <c r="T14" s="48">
        <v>1.091</v>
      </c>
      <c r="U14" s="48">
        <v>0.936</v>
      </c>
      <c r="V14" s="48">
        <v>3.835</v>
      </c>
      <c r="W14" s="48">
        <v>5.093</v>
      </c>
      <c r="X14" s="48">
        <v>1.554</v>
      </c>
      <c r="Y14" s="48">
        <v>0.945</v>
      </c>
      <c r="Z14" s="48">
        <v>0.541</v>
      </c>
    </row>
    <row r="15" ht="15.75" customHeight="1">
      <c r="A15" s="29"/>
      <c r="B15" s="17"/>
      <c r="C15" s="133">
        <v>1.913</v>
      </c>
      <c r="D15" s="133">
        <v>3.777</v>
      </c>
      <c r="E15" s="133">
        <v>3.358</v>
      </c>
      <c r="F15" s="44">
        <v>0.252</v>
      </c>
      <c r="G15" s="44">
        <v>2.441</v>
      </c>
      <c r="H15" s="44">
        <v>0.742</v>
      </c>
      <c r="I15" s="44">
        <v>1.515</v>
      </c>
      <c r="J15" s="44">
        <v>0.927</v>
      </c>
      <c r="K15" s="49"/>
      <c r="L15" s="44">
        <v>4.888</v>
      </c>
      <c r="M15" s="46">
        <v>1.095</v>
      </c>
      <c r="N15" s="44">
        <v>1.409</v>
      </c>
      <c r="O15" s="44">
        <v>0.429</v>
      </c>
      <c r="P15" s="45"/>
      <c r="Q15" s="44">
        <v>2.262</v>
      </c>
      <c r="R15" s="44">
        <v>1.717</v>
      </c>
      <c r="S15" s="44">
        <v>0.583</v>
      </c>
      <c r="T15" s="48">
        <v>0.796</v>
      </c>
      <c r="U15" s="48">
        <v>0.618</v>
      </c>
      <c r="V15" s="48">
        <v>3.342</v>
      </c>
      <c r="W15" s="48">
        <v>1.389</v>
      </c>
      <c r="X15" s="48">
        <v>1.39</v>
      </c>
      <c r="Y15" s="48">
        <v>1.16</v>
      </c>
      <c r="Z15" s="48">
        <v>0.198</v>
      </c>
    </row>
    <row r="16" ht="15.75" customHeight="1">
      <c r="A16" s="29"/>
      <c r="B16" s="28"/>
      <c r="C16" s="134">
        <v>3.703</v>
      </c>
      <c r="D16" s="134">
        <v>2.413</v>
      </c>
      <c r="E16" s="134">
        <v>0.094</v>
      </c>
      <c r="F16" s="54">
        <v>0.253</v>
      </c>
      <c r="G16" s="54">
        <v>2.619</v>
      </c>
      <c r="H16" s="54">
        <v>1.641</v>
      </c>
      <c r="I16" s="54">
        <v>1.077</v>
      </c>
      <c r="J16" s="54">
        <v>0.844</v>
      </c>
      <c r="K16" s="64"/>
      <c r="L16" s="54">
        <v>0.229</v>
      </c>
      <c r="M16" s="56">
        <v>1.25</v>
      </c>
      <c r="N16" s="44">
        <v>0.887</v>
      </c>
      <c r="O16" s="44">
        <v>1.048</v>
      </c>
      <c r="P16" s="45"/>
      <c r="Q16" s="44">
        <v>6.014</v>
      </c>
      <c r="R16" s="44">
        <v>1.94</v>
      </c>
      <c r="S16" s="44">
        <v>1.451</v>
      </c>
      <c r="T16" s="48">
        <v>1.071</v>
      </c>
      <c r="U16" s="48">
        <v>0.496</v>
      </c>
      <c r="V16" s="48">
        <v>2.082</v>
      </c>
      <c r="W16" s="48">
        <v>2.031</v>
      </c>
      <c r="X16" s="48">
        <v>1.409</v>
      </c>
      <c r="Y16" s="48">
        <v>1.114</v>
      </c>
      <c r="Z16" s="48">
        <v>0.771</v>
      </c>
    </row>
    <row r="17" ht="15.75" customHeight="1">
      <c r="A17" s="29"/>
      <c r="B17" s="57">
        <v>2.0</v>
      </c>
      <c r="C17" s="135">
        <v>0.49</v>
      </c>
      <c r="D17" s="135">
        <v>1.574</v>
      </c>
      <c r="E17" s="135">
        <v>1.822</v>
      </c>
      <c r="F17" s="36">
        <v>0.275</v>
      </c>
      <c r="G17" s="36">
        <v>3.126</v>
      </c>
      <c r="H17" s="36">
        <v>1.583</v>
      </c>
      <c r="I17" s="140">
        <v>0.782</v>
      </c>
      <c r="J17" s="36">
        <v>2.109</v>
      </c>
      <c r="K17" s="38"/>
      <c r="L17" s="36">
        <v>3.48</v>
      </c>
      <c r="M17" s="37">
        <v>0.683</v>
      </c>
      <c r="N17" s="36">
        <v>0.64</v>
      </c>
      <c r="O17" s="36">
        <v>0.98</v>
      </c>
      <c r="P17" s="38"/>
      <c r="Q17" s="36">
        <v>3.074</v>
      </c>
      <c r="R17" s="36">
        <v>1.7</v>
      </c>
      <c r="S17" s="36">
        <v>1.54</v>
      </c>
      <c r="T17" s="40">
        <v>0.997</v>
      </c>
      <c r="U17" s="40">
        <v>1.092</v>
      </c>
      <c r="V17" s="40">
        <v>0.276</v>
      </c>
      <c r="W17" s="40">
        <v>2.259</v>
      </c>
      <c r="X17" s="40">
        <v>1.326</v>
      </c>
      <c r="Y17" s="40">
        <v>1.337</v>
      </c>
      <c r="Z17" s="40">
        <v>0.626</v>
      </c>
    </row>
    <row r="18" ht="15.75" customHeight="1">
      <c r="A18" s="29"/>
      <c r="B18" s="17"/>
      <c r="C18" s="133">
        <v>2.24</v>
      </c>
      <c r="D18" s="133">
        <v>0.605</v>
      </c>
      <c r="E18" s="133">
        <v>2.385</v>
      </c>
      <c r="F18" s="44">
        <v>0.301</v>
      </c>
      <c r="G18" s="44">
        <v>3.699</v>
      </c>
      <c r="H18" s="44">
        <v>1.643</v>
      </c>
      <c r="I18" s="141">
        <v>1.224</v>
      </c>
      <c r="J18" s="44">
        <v>1.245</v>
      </c>
      <c r="K18" s="45"/>
      <c r="L18" s="44">
        <v>4.785</v>
      </c>
      <c r="M18" s="46">
        <v>1.073</v>
      </c>
      <c r="N18" s="44">
        <v>0.408</v>
      </c>
      <c r="O18" s="44">
        <v>0.484</v>
      </c>
      <c r="P18" s="45"/>
      <c r="Q18" s="44">
        <v>2.201</v>
      </c>
      <c r="R18" s="44">
        <v>2.123</v>
      </c>
      <c r="S18" s="44">
        <v>0.956</v>
      </c>
      <c r="T18" s="48">
        <v>0.886</v>
      </c>
      <c r="U18" s="48">
        <v>0.598</v>
      </c>
      <c r="V18" s="48">
        <v>1.32</v>
      </c>
      <c r="W18" s="48">
        <v>1.77</v>
      </c>
      <c r="X18" s="48">
        <v>1.283</v>
      </c>
      <c r="Y18" s="48">
        <v>0.733</v>
      </c>
      <c r="Z18" s="33"/>
    </row>
    <row r="19" ht="15.75" customHeight="1">
      <c r="A19" s="59"/>
      <c r="B19" s="17"/>
      <c r="C19" s="133">
        <v>3.228</v>
      </c>
      <c r="D19" s="133">
        <v>2.024</v>
      </c>
      <c r="E19" s="133">
        <v>3.441</v>
      </c>
      <c r="F19" s="49"/>
      <c r="G19" s="49"/>
      <c r="H19" s="44">
        <v>1.733</v>
      </c>
      <c r="I19" s="141">
        <v>0.94</v>
      </c>
      <c r="J19" s="44">
        <v>0.665</v>
      </c>
      <c r="K19" s="45"/>
      <c r="L19" s="44">
        <v>3.292</v>
      </c>
      <c r="M19" s="46">
        <v>1.146</v>
      </c>
      <c r="N19" s="44">
        <v>0.649</v>
      </c>
      <c r="O19" s="44">
        <v>1.136</v>
      </c>
      <c r="P19" s="45"/>
      <c r="Q19" s="44">
        <v>0.533</v>
      </c>
      <c r="R19" s="44">
        <v>1.96</v>
      </c>
      <c r="S19" s="44">
        <v>1.528</v>
      </c>
      <c r="T19" s="48">
        <v>1.408</v>
      </c>
      <c r="U19" s="48">
        <v>0.741</v>
      </c>
      <c r="V19" s="48">
        <v>5.233</v>
      </c>
      <c r="W19" s="48">
        <v>2.586</v>
      </c>
      <c r="X19" s="48">
        <v>1.267</v>
      </c>
      <c r="Y19" s="48">
        <v>0.783</v>
      </c>
      <c r="Z19" s="33"/>
    </row>
    <row r="20" ht="15.75" customHeight="1">
      <c r="A20" s="59"/>
      <c r="B20" s="17"/>
      <c r="C20" s="133">
        <v>2.22</v>
      </c>
      <c r="D20" s="133">
        <v>3.689</v>
      </c>
      <c r="E20" s="133">
        <v>4.053</v>
      </c>
      <c r="F20" s="49"/>
      <c r="G20" s="49"/>
      <c r="H20" s="44">
        <v>2.188</v>
      </c>
      <c r="I20" s="45"/>
      <c r="J20" s="44">
        <v>2.203</v>
      </c>
      <c r="K20" s="45"/>
      <c r="L20" s="44">
        <v>4.635</v>
      </c>
      <c r="M20" s="46">
        <v>0.66</v>
      </c>
      <c r="N20" s="44">
        <v>1.025</v>
      </c>
      <c r="O20" s="44">
        <v>0.998</v>
      </c>
      <c r="P20" s="45"/>
      <c r="Q20" s="44">
        <v>3.007</v>
      </c>
      <c r="R20" s="44">
        <v>1.937</v>
      </c>
      <c r="S20" s="45"/>
      <c r="T20" s="48">
        <v>0.917</v>
      </c>
      <c r="U20" s="48">
        <v>0.9</v>
      </c>
      <c r="V20" s="48">
        <v>5.325</v>
      </c>
      <c r="W20" s="48">
        <v>2.389</v>
      </c>
      <c r="X20" s="48">
        <v>1.519</v>
      </c>
      <c r="Y20" s="48">
        <v>1.028</v>
      </c>
      <c r="Z20" s="47"/>
    </row>
    <row r="21" ht="15.75" customHeight="1">
      <c r="A21" s="59"/>
      <c r="B21" s="17"/>
      <c r="C21" s="62"/>
      <c r="D21" s="133">
        <v>2.548</v>
      </c>
      <c r="E21" s="133">
        <v>3.351</v>
      </c>
      <c r="F21" s="49"/>
      <c r="G21" s="49"/>
      <c r="H21" s="49"/>
      <c r="I21" s="45"/>
      <c r="J21" s="44">
        <v>0.914</v>
      </c>
      <c r="K21" s="45"/>
      <c r="L21" s="44">
        <v>3.492</v>
      </c>
      <c r="M21" s="46">
        <v>0.532</v>
      </c>
      <c r="N21" s="44">
        <v>1.197</v>
      </c>
      <c r="O21" s="44">
        <v>0.161</v>
      </c>
      <c r="P21" s="45"/>
      <c r="Q21" s="44">
        <v>0.965</v>
      </c>
      <c r="R21" s="49"/>
      <c r="S21" s="45"/>
      <c r="T21" s="142">
        <v>0.751</v>
      </c>
      <c r="U21" s="48">
        <v>0.528</v>
      </c>
      <c r="V21" s="48">
        <v>4.798</v>
      </c>
      <c r="W21" s="48">
        <v>2.3</v>
      </c>
      <c r="X21" s="48">
        <v>1.516</v>
      </c>
      <c r="Y21" s="33"/>
      <c r="Z21" s="47"/>
    </row>
    <row r="22" ht="15.75" customHeight="1">
      <c r="A22" s="59"/>
      <c r="B22" s="17"/>
      <c r="C22" s="62"/>
      <c r="D22" s="133">
        <v>2.957</v>
      </c>
      <c r="E22" s="133">
        <v>3.595</v>
      </c>
      <c r="F22" s="49"/>
      <c r="G22" s="49"/>
      <c r="H22" s="49"/>
      <c r="I22" s="45"/>
      <c r="J22" s="45"/>
      <c r="K22" s="45"/>
      <c r="L22" s="49"/>
      <c r="M22" s="46">
        <v>0.684</v>
      </c>
      <c r="N22" s="45"/>
      <c r="O22" s="44">
        <v>0.401</v>
      </c>
      <c r="P22" s="45"/>
      <c r="Q22" s="44">
        <v>3.69</v>
      </c>
      <c r="R22" s="49"/>
      <c r="S22" s="45"/>
      <c r="T22" s="47"/>
      <c r="U22" s="142">
        <v>0.554</v>
      </c>
      <c r="V22" s="48">
        <v>3.892</v>
      </c>
      <c r="W22" s="48">
        <v>1.61</v>
      </c>
      <c r="X22" s="48">
        <v>1.922</v>
      </c>
      <c r="Y22" s="33"/>
      <c r="Z22" s="47"/>
    </row>
    <row r="23" ht="15.75" customHeight="1">
      <c r="A23" s="59"/>
      <c r="B23" s="17"/>
      <c r="C23" s="62"/>
      <c r="D23" s="133">
        <v>2.583</v>
      </c>
      <c r="E23" s="133">
        <v>3.897</v>
      </c>
      <c r="F23" s="49"/>
      <c r="G23" s="45"/>
      <c r="H23" s="45"/>
      <c r="I23" s="45"/>
      <c r="J23" s="45"/>
      <c r="K23" s="45"/>
      <c r="L23" s="49"/>
      <c r="M23" s="63"/>
      <c r="N23" s="45"/>
      <c r="O23" s="45"/>
      <c r="P23" s="45"/>
      <c r="Q23" s="45"/>
      <c r="R23" s="49"/>
      <c r="S23" s="45"/>
      <c r="T23" s="47"/>
      <c r="U23" s="47"/>
      <c r="V23" s="48">
        <v>2.664</v>
      </c>
      <c r="W23" s="33"/>
      <c r="X23" s="48">
        <v>0.748</v>
      </c>
      <c r="Y23" s="33"/>
      <c r="Z23" s="47"/>
    </row>
    <row r="24" ht="15.75" customHeight="1">
      <c r="A24" s="59"/>
      <c r="B24" s="17"/>
      <c r="C24" s="62"/>
      <c r="D24" s="133">
        <v>3.183</v>
      </c>
      <c r="E24" s="133">
        <v>1.389</v>
      </c>
      <c r="F24" s="45"/>
      <c r="G24" s="45"/>
      <c r="H24" s="45"/>
      <c r="I24" s="45"/>
      <c r="J24" s="45"/>
      <c r="K24" s="45"/>
      <c r="L24" s="49"/>
      <c r="M24" s="63"/>
      <c r="N24" s="45"/>
      <c r="O24" s="45"/>
      <c r="P24" s="45"/>
      <c r="Q24" s="45"/>
      <c r="R24" s="45"/>
      <c r="S24" s="45"/>
      <c r="T24" s="47"/>
      <c r="U24" s="47"/>
      <c r="V24" s="48">
        <v>2.923</v>
      </c>
      <c r="W24" s="33"/>
      <c r="X24" s="48">
        <v>1.397</v>
      </c>
      <c r="Y24" s="33"/>
      <c r="Z24" s="47"/>
    </row>
    <row r="25" ht="15.75" customHeight="1">
      <c r="A25" s="59"/>
      <c r="B25" s="17"/>
      <c r="C25" s="62"/>
      <c r="D25" s="133">
        <v>1.046</v>
      </c>
      <c r="E25" s="62"/>
      <c r="F25" s="45"/>
      <c r="G25" s="45"/>
      <c r="H25" s="45"/>
      <c r="I25" s="45"/>
      <c r="J25" s="45"/>
      <c r="K25" s="45"/>
      <c r="L25" s="45"/>
      <c r="M25" s="63"/>
      <c r="N25" s="45"/>
      <c r="O25" s="45"/>
      <c r="P25" s="45"/>
      <c r="Q25" s="45"/>
      <c r="R25" s="45"/>
      <c r="S25" s="45"/>
      <c r="T25" s="47"/>
      <c r="U25" s="47"/>
      <c r="V25" s="47"/>
      <c r="W25" s="47"/>
      <c r="X25" s="47"/>
      <c r="Y25" s="33"/>
      <c r="Z25" s="47"/>
    </row>
    <row r="26" ht="15.75" customHeight="1">
      <c r="B26" s="28"/>
      <c r="C26" s="55"/>
      <c r="D26" s="64"/>
      <c r="E26" s="55"/>
      <c r="F26" s="55"/>
      <c r="G26" s="55"/>
      <c r="H26" s="55"/>
      <c r="I26" s="55"/>
      <c r="J26" s="55"/>
      <c r="K26" s="55"/>
      <c r="L26" s="55"/>
      <c r="M26" s="65"/>
      <c r="N26" s="55"/>
      <c r="O26" s="55"/>
      <c r="P26" s="55"/>
      <c r="Q26" s="55"/>
      <c r="R26" s="55"/>
      <c r="S26" s="55"/>
      <c r="T26" s="66"/>
      <c r="U26" s="66"/>
      <c r="V26" s="66"/>
      <c r="W26" s="66"/>
      <c r="X26" s="66"/>
      <c r="Y26" s="50"/>
      <c r="Z26" s="66"/>
    </row>
    <row r="27" ht="19.5" customHeight="1">
      <c r="B27" s="67" t="s">
        <v>15</v>
      </c>
      <c r="C27" s="68">
        <f t="shared" ref="C27:Z27" si="1">AVERAGE(C7:C26)</f>
        <v>2.094285714</v>
      </c>
      <c r="D27" s="68">
        <f t="shared" si="1"/>
        <v>2.694947368</v>
      </c>
      <c r="E27" s="68">
        <f t="shared" si="1"/>
        <v>2.6065</v>
      </c>
      <c r="F27" s="68">
        <f t="shared" si="1"/>
        <v>0.2624166667</v>
      </c>
      <c r="G27" s="68">
        <f t="shared" si="1"/>
        <v>3.18375</v>
      </c>
      <c r="H27" s="68">
        <f t="shared" si="1"/>
        <v>1.574142857</v>
      </c>
      <c r="I27" s="68">
        <f t="shared" si="1"/>
        <v>1.299923077</v>
      </c>
      <c r="J27" s="68">
        <f t="shared" si="1"/>
        <v>0.9415333333</v>
      </c>
      <c r="K27" s="68">
        <f t="shared" si="1"/>
        <v>0.6645</v>
      </c>
      <c r="L27" s="68">
        <f t="shared" si="1"/>
        <v>3.078333333</v>
      </c>
      <c r="M27" s="68">
        <f t="shared" si="1"/>
        <v>1.6413125</v>
      </c>
      <c r="N27" s="68">
        <f t="shared" si="1"/>
        <v>0.9891333333</v>
      </c>
      <c r="O27" s="68">
        <f t="shared" si="1"/>
        <v>0.8715625</v>
      </c>
      <c r="P27" s="68">
        <f t="shared" si="1"/>
        <v>0.773</v>
      </c>
      <c r="Q27" s="68">
        <f t="shared" si="1"/>
        <v>2.3948125</v>
      </c>
      <c r="R27" s="68">
        <f t="shared" si="1"/>
        <v>1.629785714</v>
      </c>
      <c r="S27" s="68">
        <f t="shared" si="1"/>
        <v>1.188230769</v>
      </c>
      <c r="T27" s="68">
        <f t="shared" si="1"/>
        <v>1.045333333</v>
      </c>
      <c r="U27" s="68">
        <f t="shared" si="1"/>
        <v>0.670375</v>
      </c>
      <c r="V27" s="68">
        <f t="shared" si="1"/>
        <v>3.028777778</v>
      </c>
      <c r="W27" s="68">
        <f t="shared" si="1"/>
        <v>2.15275</v>
      </c>
      <c r="X27" s="68">
        <f t="shared" si="1"/>
        <v>1.511166667</v>
      </c>
      <c r="Y27" s="68">
        <f t="shared" si="1"/>
        <v>0.9154285714</v>
      </c>
      <c r="Z27" s="68">
        <f t="shared" si="1"/>
        <v>0.6308181818</v>
      </c>
    </row>
    <row r="28" ht="15.75" customHeight="1">
      <c r="B28" s="67" t="s">
        <v>16</v>
      </c>
      <c r="C28" s="68">
        <f t="shared" ref="C28:Z28" si="2">STDEV(C7:C26)</f>
        <v>1.182209498</v>
      </c>
      <c r="D28" s="68">
        <f t="shared" si="2"/>
        <v>1.304794299</v>
      </c>
      <c r="E28" s="68">
        <f t="shared" si="2"/>
        <v>1.270943293</v>
      </c>
      <c r="F28" s="68">
        <f t="shared" si="2"/>
        <v>0.05365624311</v>
      </c>
      <c r="G28" s="68">
        <f t="shared" si="2"/>
        <v>0.5281157113</v>
      </c>
      <c r="H28" s="68">
        <f t="shared" si="2"/>
        <v>0.5176933837</v>
      </c>
      <c r="I28" s="68">
        <f t="shared" si="2"/>
        <v>0.4462761592</v>
      </c>
      <c r="J28" s="68">
        <f t="shared" si="2"/>
        <v>0.5377521823</v>
      </c>
      <c r="K28" s="68">
        <f t="shared" si="2"/>
        <v>0.3040418204</v>
      </c>
      <c r="L28" s="68">
        <f t="shared" si="2"/>
        <v>1.439903155</v>
      </c>
      <c r="M28" s="68">
        <f t="shared" si="2"/>
        <v>1.077943704</v>
      </c>
      <c r="N28" s="68">
        <f t="shared" si="2"/>
        <v>0.5501956622</v>
      </c>
      <c r="O28" s="68">
        <f t="shared" si="2"/>
        <v>0.4617271877</v>
      </c>
      <c r="P28" s="68">
        <f t="shared" si="2"/>
        <v>0.4408215814</v>
      </c>
      <c r="Q28" s="68">
        <f t="shared" si="2"/>
        <v>1.505157322</v>
      </c>
      <c r="R28" s="68">
        <f t="shared" si="2"/>
        <v>0.3738548008</v>
      </c>
      <c r="S28" s="68">
        <f t="shared" si="2"/>
        <v>0.4147632164</v>
      </c>
      <c r="T28" s="68">
        <f t="shared" si="2"/>
        <v>0.2073133125</v>
      </c>
      <c r="U28" s="68">
        <f t="shared" si="2"/>
        <v>0.2189985921</v>
      </c>
      <c r="V28" s="68">
        <f t="shared" si="2"/>
        <v>1.387676117</v>
      </c>
      <c r="W28" s="68">
        <f t="shared" si="2"/>
        <v>0.9739450019</v>
      </c>
      <c r="X28" s="68">
        <f t="shared" si="2"/>
        <v>0.2772378995</v>
      </c>
      <c r="Y28" s="68">
        <f t="shared" si="2"/>
        <v>0.2526687446</v>
      </c>
      <c r="Z28" s="68">
        <f t="shared" si="2"/>
        <v>0.2612431121</v>
      </c>
    </row>
    <row r="29" ht="15.75" customHeight="1">
      <c r="B29" s="67" t="s">
        <v>17</v>
      </c>
      <c r="C29" s="68">
        <f t="shared" ref="C29:Z29" si="3">C$27/$C$27</f>
        <v>1</v>
      </c>
      <c r="D29" s="68">
        <f t="shared" si="3"/>
        <v>1.286809794</v>
      </c>
      <c r="E29" s="68">
        <f t="shared" si="3"/>
        <v>1.24457708</v>
      </c>
      <c r="F29" s="68">
        <f t="shared" si="3"/>
        <v>0.1253012733</v>
      </c>
      <c r="G29" s="68">
        <f t="shared" si="3"/>
        <v>1.520208049</v>
      </c>
      <c r="H29" s="68">
        <f t="shared" si="3"/>
        <v>0.7516371078</v>
      </c>
      <c r="I29" s="68">
        <f t="shared" si="3"/>
        <v>0.6206999685</v>
      </c>
      <c r="J29" s="68">
        <f t="shared" si="3"/>
        <v>0.449572533</v>
      </c>
      <c r="K29" s="68">
        <f t="shared" si="3"/>
        <v>0.3172919509</v>
      </c>
      <c r="L29" s="68">
        <f t="shared" si="3"/>
        <v>1.469872669</v>
      </c>
      <c r="M29" s="68">
        <f t="shared" si="3"/>
        <v>0.783709925</v>
      </c>
      <c r="N29" s="68">
        <f t="shared" si="3"/>
        <v>0.4723010459</v>
      </c>
      <c r="O29" s="68">
        <f t="shared" si="3"/>
        <v>0.416162176</v>
      </c>
      <c r="P29" s="68">
        <f t="shared" si="3"/>
        <v>0.3690995907</v>
      </c>
      <c r="Q29" s="68">
        <f t="shared" si="3"/>
        <v>1.143498465</v>
      </c>
      <c r="R29" s="68">
        <f t="shared" si="3"/>
        <v>0.7782060027</v>
      </c>
      <c r="S29" s="68">
        <f t="shared" si="3"/>
        <v>0.5673680344</v>
      </c>
      <c r="T29" s="68">
        <f t="shared" si="3"/>
        <v>0.4991359709</v>
      </c>
      <c r="U29" s="68">
        <f t="shared" si="3"/>
        <v>0.3200972033</v>
      </c>
      <c r="V29" s="68">
        <f t="shared" si="3"/>
        <v>1.446210399</v>
      </c>
      <c r="W29" s="68">
        <f t="shared" si="3"/>
        <v>1.027916098</v>
      </c>
      <c r="X29" s="68">
        <f t="shared" si="3"/>
        <v>0.7215666212</v>
      </c>
      <c r="Y29" s="68">
        <f t="shared" si="3"/>
        <v>0.4371077763</v>
      </c>
      <c r="Z29" s="68">
        <f t="shared" si="3"/>
        <v>0.3012092273</v>
      </c>
    </row>
    <row r="30" ht="15.75" customHeight="1">
      <c r="B30" s="67" t="s">
        <v>18</v>
      </c>
      <c r="C30" s="68">
        <f t="shared" ref="C30:Z30" si="4">(C27-$C$27)/($C$27)</f>
        <v>0</v>
      </c>
      <c r="D30" s="68">
        <f t="shared" si="4"/>
        <v>0.2868097939</v>
      </c>
      <c r="E30" s="68">
        <f t="shared" si="4"/>
        <v>0.2445770805</v>
      </c>
      <c r="F30" s="68">
        <f t="shared" si="4"/>
        <v>-0.8746987267</v>
      </c>
      <c r="G30" s="68">
        <f t="shared" si="4"/>
        <v>0.5202080491</v>
      </c>
      <c r="H30" s="68">
        <f t="shared" si="4"/>
        <v>-0.2483628922</v>
      </c>
      <c r="I30" s="68">
        <f t="shared" si="4"/>
        <v>-0.3793000315</v>
      </c>
      <c r="J30" s="68">
        <f t="shared" si="4"/>
        <v>-0.550427467</v>
      </c>
      <c r="K30" s="68">
        <f t="shared" si="4"/>
        <v>-0.6827080491</v>
      </c>
      <c r="L30" s="68">
        <f t="shared" si="4"/>
        <v>0.4698726694</v>
      </c>
      <c r="M30" s="68">
        <f t="shared" si="4"/>
        <v>-0.216290075</v>
      </c>
      <c r="N30" s="68">
        <f t="shared" si="4"/>
        <v>-0.5276989541</v>
      </c>
      <c r="O30" s="68">
        <f t="shared" si="4"/>
        <v>-0.583837824</v>
      </c>
      <c r="P30" s="68">
        <f t="shared" si="4"/>
        <v>-0.6309004093</v>
      </c>
      <c r="Q30" s="68">
        <f t="shared" si="4"/>
        <v>0.1434984652</v>
      </c>
      <c r="R30" s="68">
        <f t="shared" si="4"/>
        <v>-0.2217939973</v>
      </c>
      <c r="S30" s="68">
        <f t="shared" si="4"/>
        <v>-0.4326319656</v>
      </c>
      <c r="T30" s="68">
        <f t="shared" si="4"/>
        <v>-0.5008640291</v>
      </c>
      <c r="U30" s="68">
        <f t="shared" si="4"/>
        <v>-0.6799027967</v>
      </c>
      <c r="V30" s="68">
        <f t="shared" si="4"/>
        <v>0.4462103987</v>
      </c>
      <c r="W30" s="68">
        <f t="shared" si="4"/>
        <v>0.02791609823</v>
      </c>
      <c r="X30" s="68">
        <f t="shared" si="4"/>
        <v>-0.2784333788</v>
      </c>
      <c r="Y30" s="68">
        <f t="shared" si="4"/>
        <v>-0.5628922237</v>
      </c>
      <c r="Z30" s="68">
        <f t="shared" si="4"/>
        <v>-0.6987907727</v>
      </c>
    </row>
    <row r="31" ht="15.75" customHeight="1"/>
    <row r="32" ht="15.75" customHeight="1">
      <c r="B32" s="69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70" t="s">
        <v>20</v>
      </c>
      <c r="C33" s="71" t="s">
        <v>21</v>
      </c>
      <c r="D33" s="71" t="s">
        <v>22</v>
      </c>
      <c r="E33" s="72" t="s">
        <v>23</v>
      </c>
      <c r="F33" s="73"/>
      <c r="G33" s="72" t="s">
        <v>15</v>
      </c>
      <c r="H33" s="73"/>
      <c r="I33" s="74" t="s">
        <v>24</v>
      </c>
      <c r="J33" s="73"/>
      <c r="K33" s="74" t="s">
        <v>25</v>
      </c>
      <c r="L33" s="73"/>
      <c r="M33" s="74" t="s">
        <v>17</v>
      </c>
      <c r="N33" s="73"/>
      <c r="O33" s="74" t="s">
        <v>26</v>
      </c>
      <c r="P33" s="73"/>
      <c r="Q33" s="74" t="s">
        <v>27</v>
      </c>
      <c r="R33" s="75"/>
      <c r="S33" s="74" t="s">
        <v>18</v>
      </c>
      <c r="T33" s="75"/>
      <c r="U33" s="76"/>
      <c r="V33" s="76"/>
    </row>
    <row r="34" ht="15.75" customHeight="1">
      <c r="B34" s="28"/>
      <c r="C34" s="28"/>
      <c r="D34" s="28"/>
      <c r="E34" s="77"/>
      <c r="F34" s="78"/>
      <c r="G34" s="77"/>
      <c r="H34" s="78"/>
      <c r="I34" s="77"/>
      <c r="J34" s="78"/>
      <c r="K34" s="77"/>
      <c r="L34" s="78"/>
      <c r="M34" s="77"/>
      <c r="N34" s="78"/>
      <c r="O34" s="77"/>
      <c r="P34" s="78"/>
      <c r="Q34" s="77"/>
      <c r="R34" s="79"/>
      <c r="S34" s="77"/>
      <c r="T34" s="79"/>
      <c r="U34" s="76"/>
      <c r="V34" s="76"/>
    </row>
    <row r="35" ht="15.75" customHeight="1">
      <c r="B35" s="80" t="s">
        <v>3</v>
      </c>
      <c r="C35" s="81" t="s">
        <v>8</v>
      </c>
      <c r="D35" s="82">
        <v>1.0</v>
      </c>
      <c r="E35" s="83">
        <v>6.0</v>
      </c>
      <c r="F35" s="78"/>
      <c r="G35" s="84">
        <f>AVERAGE(E35:F36)</f>
        <v>7</v>
      </c>
      <c r="H35" s="85"/>
      <c r="I35" s="84">
        <f>(G35/10)*100</f>
        <v>70</v>
      </c>
      <c r="J35" s="85"/>
      <c r="K35" s="84">
        <f>(G35/$E$35)*100</f>
        <v>116.6666667</v>
      </c>
      <c r="L35" s="85"/>
      <c r="M35" s="84">
        <f>C29</f>
        <v>1</v>
      </c>
      <c r="N35" s="85"/>
      <c r="O35" s="84">
        <f>(K35*M35)/100</f>
        <v>1.166666667</v>
      </c>
      <c r="P35" s="85"/>
      <c r="Q35" s="84">
        <f>(O35-$O$35)/$O$35</f>
        <v>0</v>
      </c>
      <c r="R35" s="85"/>
      <c r="S35" s="84">
        <f t="array" ref="S35">INDEX($C$30:$Z$30, INT((ROW(A1)+1)/2))</f>
        <v>0</v>
      </c>
      <c r="T35" s="85"/>
    </row>
    <row r="36" ht="15.75" customHeight="1">
      <c r="B36" s="17"/>
      <c r="C36" s="28"/>
      <c r="D36" s="82">
        <v>2.0</v>
      </c>
      <c r="E36" s="83">
        <v>8.0</v>
      </c>
      <c r="F36" s="78"/>
      <c r="G36" s="79"/>
      <c r="H36" s="78"/>
      <c r="I36" s="79"/>
      <c r="J36" s="78"/>
      <c r="K36" s="79"/>
      <c r="L36" s="78"/>
      <c r="M36" s="79"/>
      <c r="N36" s="78"/>
      <c r="O36" s="79"/>
      <c r="P36" s="78"/>
      <c r="Q36" s="79"/>
      <c r="R36" s="78"/>
      <c r="S36" s="79"/>
      <c r="T36" s="78"/>
    </row>
    <row r="37" ht="15.75" customHeight="1">
      <c r="B37" s="17"/>
      <c r="C37" s="81" t="s">
        <v>9</v>
      </c>
      <c r="D37" s="82">
        <v>1.0</v>
      </c>
      <c r="E37" s="83">
        <v>10.0</v>
      </c>
      <c r="F37" s="78"/>
      <c r="G37" s="84">
        <f>AVERAGE(E37:F38)</f>
        <v>9.5</v>
      </c>
      <c r="H37" s="85"/>
      <c r="I37" s="84">
        <f>(G37/10)*100</f>
        <v>95</v>
      </c>
      <c r="J37" s="85"/>
      <c r="K37" s="84">
        <f>(G37/$E$35)*100</f>
        <v>158.3333333</v>
      </c>
      <c r="L37" s="85"/>
      <c r="M37" s="84">
        <f>D29</f>
        <v>1.286809794</v>
      </c>
      <c r="N37" s="85"/>
      <c r="O37" s="84">
        <f>(K37*M37)/100</f>
        <v>2.03744884</v>
      </c>
      <c r="P37" s="85"/>
      <c r="Q37" s="84">
        <f>(O37-$O$35)/$O$35</f>
        <v>0.7463847203</v>
      </c>
      <c r="R37" s="85"/>
      <c r="S37" s="84">
        <f t="array" ref="S37">INDEX($C$30:$Z$30, INT((ROW(A3)+1)/2))</f>
        <v>0.2868097939</v>
      </c>
      <c r="T37" s="85"/>
    </row>
    <row r="38" ht="15.75" customHeight="1">
      <c r="B38" s="17"/>
      <c r="C38" s="28"/>
      <c r="D38" s="82">
        <v>2.0</v>
      </c>
      <c r="E38" s="83">
        <v>9.0</v>
      </c>
      <c r="F38" s="78"/>
      <c r="G38" s="79"/>
      <c r="H38" s="78"/>
      <c r="I38" s="79"/>
      <c r="J38" s="78"/>
      <c r="K38" s="79"/>
      <c r="L38" s="78"/>
      <c r="M38" s="79"/>
      <c r="N38" s="78"/>
      <c r="O38" s="79"/>
      <c r="P38" s="78"/>
      <c r="Q38" s="79"/>
      <c r="R38" s="78"/>
      <c r="S38" s="79"/>
      <c r="T38" s="78"/>
    </row>
    <row r="39" ht="15.75" customHeight="1">
      <c r="B39" s="17"/>
      <c r="C39" s="81" t="s">
        <v>10</v>
      </c>
      <c r="D39" s="82">
        <v>1.0</v>
      </c>
      <c r="E39" s="83">
        <v>8.0</v>
      </c>
      <c r="F39" s="78"/>
      <c r="G39" s="84">
        <f>AVERAGE(E39:F40)</f>
        <v>9</v>
      </c>
      <c r="H39" s="85"/>
      <c r="I39" s="84">
        <f>(G39/10)*100</f>
        <v>90</v>
      </c>
      <c r="J39" s="85"/>
      <c r="K39" s="84">
        <f>(G39/$E$35)*100</f>
        <v>150</v>
      </c>
      <c r="L39" s="85"/>
      <c r="M39" s="84">
        <f>E29</f>
        <v>1.24457708</v>
      </c>
      <c r="N39" s="85"/>
      <c r="O39" s="84">
        <f>(K39*M39)/100</f>
        <v>1.866865621</v>
      </c>
      <c r="P39" s="85"/>
      <c r="Q39" s="84">
        <f>(O39-$O$35)/$O$35</f>
        <v>0.6001705321</v>
      </c>
      <c r="R39" s="85"/>
      <c r="S39" s="84">
        <f t="array" ref="S39">INDEX($C$30:$Z$30, INT((ROW(A5)+1)/2))</f>
        <v>0.2445770805</v>
      </c>
      <c r="T39" s="85"/>
    </row>
    <row r="40" ht="15.75" customHeight="1">
      <c r="B40" s="17"/>
      <c r="C40" s="28"/>
      <c r="D40" s="82">
        <v>2.0</v>
      </c>
      <c r="E40" s="83">
        <v>10.0</v>
      </c>
      <c r="F40" s="78"/>
      <c r="G40" s="79"/>
      <c r="H40" s="78"/>
      <c r="I40" s="79"/>
      <c r="J40" s="78"/>
      <c r="K40" s="79"/>
      <c r="L40" s="78"/>
      <c r="M40" s="79"/>
      <c r="N40" s="78"/>
      <c r="O40" s="79"/>
      <c r="P40" s="78"/>
      <c r="Q40" s="79"/>
      <c r="R40" s="78"/>
      <c r="S40" s="79"/>
      <c r="T40" s="78"/>
    </row>
    <row r="41" ht="15.75" customHeight="1">
      <c r="B41" s="17"/>
      <c r="C41" s="81" t="s">
        <v>11</v>
      </c>
      <c r="D41" s="82">
        <v>1.0</v>
      </c>
      <c r="E41" s="83">
        <v>8.0</v>
      </c>
      <c r="F41" s="78"/>
      <c r="G41" s="84">
        <f>AVERAGE(E41:F42)</f>
        <v>6</v>
      </c>
      <c r="H41" s="85"/>
      <c r="I41" s="84">
        <f>(G41/10)*100</f>
        <v>60</v>
      </c>
      <c r="J41" s="85"/>
      <c r="K41" s="84">
        <f>(G41/$E$35)*100</f>
        <v>100</v>
      </c>
      <c r="L41" s="85"/>
      <c r="M41" s="84">
        <f>F29</f>
        <v>0.1253012733</v>
      </c>
      <c r="N41" s="85"/>
      <c r="O41" s="84">
        <f>(K41*M41)/100</f>
        <v>0.1253012733</v>
      </c>
      <c r="P41" s="85"/>
      <c r="Q41" s="84">
        <f>(O41-$O$35)/$O$35</f>
        <v>-0.8925989086</v>
      </c>
      <c r="R41" s="85"/>
      <c r="S41" s="84">
        <f t="array" ref="S41">INDEX($C$30:$Z$30, INT((ROW(A7)+1)/2))</f>
        <v>-0.8746987267</v>
      </c>
      <c r="T41" s="85"/>
    </row>
    <row r="42" ht="15.75" customHeight="1">
      <c r="B42" s="28"/>
      <c r="C42" s="28"/>
      <c r="D42" s="82">
        <v>2.0</v>
      </c>
      <c r="E42" s="83">
        <v>4.0</v>
      </c>
      <c r="F42" s="78"/>
      <c r="G42" s="79"/>
      <c r="H42" s="78"/>
      <c r="I42" s="79"/>
      <c r="J42" s="78"/>
      <c r="K42" s="79"/>
      <c r="L42" s="78"/>
      <c r="M42" s="79"/>
      <c r="N42" s="78"/>
      <c r="O42" s="79"/>
      <c r="P42" s="78"/>
      <c r="Q42" s="79"/>
      <c r="R42" s="78"/>
      <c r="S42" s="79"/>
      <c r="T42" s="78"/>
    </row>
    <row r="43" ht="15.75" customHeight="1">
      <c r="B43" s="86" t="s">
        <v>4</v>
      </c>
      <c r="C43" s="87">
        <v>0.0</v>
      </c>
      <c r="D43" s="88">
        <v>1.0</v>
      </c>
      <c r="E43" s="83">
        <v>6.0</v>
      </c>
      <c r="F43" s="78"/>
      <c r="G43" s="84">
        <f>AVERAGE(E43:F44)</f>
        <v>6</v>
      </c>
      <c r="H43" s="85"/>
      <c r="I43" s="84">
        <f>(G43/10)*100</f>
        <v>60</v>
      </c>
      <c r="J43" s="85"/>
      <c r="K43" s="84">
        <f>(G43/$E$35)*100</f>
        <v>100</v>
      </c>
      <c r="L43" s="85"/>
      <c r="M43" s="84">
        <f>G29</f>
        <v>1.520208049</v>
      </c>
      <c r="N43" s="85"/>
      <c r="O43" s="84">
        <f>(K43*M43)/100</f>
        <v>1.520208049</v>
      </c>
      <c r="P43" s="85"/>
      <c r="Q43" s="84">
        <f>(O43-$O$35)/$O$35</f>
        <v>0.3030354707</v>
      </c>
      <c r="R43" s="85"/>
      <c r="S43" s="84">
        <f t="array" ref="S43">INDEX($C$30:$Z$30, INT((ROW(A9)+1)/2))</f>
        <v>0.5202080491</v>
      </c>
      <c r="T43" s="85"/>
    </row>
    <row r="44" ht="15.75" customHeight="1">
      <c r="B44" s="17"/>
      <c r="C44" s="28"/>
      <c r="D44" s="88">
        <v>2.0</v>
      </c>
      <c r="E44" s="83">
        <v>6.0</v>
      </c>
      <c r="F44" s="78"/>
      <c r="G44" s="79"/>
      <c r="H44" s="78"/>
      <c r="I44" s="79"/>
      <c r="J44" s="78"/>
      <c r="K44" s="79"/>
      <c r="L44" s="78"/>
      <c r="M44" s="79"/>
      <c r="N44" s="78"/>
      <c r="O44" s="79"/>
      <c r="P44" s="78"/>
      <c r="Q44" s="79"/>
      <c r="R44" s="78"/>
      <c r="S44" s="79"/>
      <c r="T44" s="78"/>
    </row>
    <row r="45" ht="15.75" customHeight="1">
      <c r="B45" s="17"/>
      <c r="C45" s="87">
        <v>25.0</v>
      </c>
      <c r="D45" s="88">
        <v>1.0</v>
      </c>
      <c r="E45" s="83">
        <v>6.0</v>
      </c>
      <c r="F45" s="78"/>
      <c r="G45" s="84">
        <f>AVERAGE(E45:F46)</f>
        <v>7</v>
      </c>
      <c r="H45" s="85"/>
      <c r="I45" s="84">
        <f>(G45/10)*100</f>
        <v>70</v>
      </c>
      <c r="J45" s="85"/>
      <c r="K45" s="84">
        <f>(G45/$E$35)*100</f>
        <v>116.6666667</v>
      </c>
      <c r="L45" s="85"/>
      <c r="M45" s="84">
        <f>H29</f>
        <v>0.7516371078</v>
      </c>
      <c r="N45" s="85"/>
      <c r="O45" s="84">
        <f>(K45*M45)/100</f>
        <v>0.8769099591</v>
      </c>
      <c r="P45" s="85"/>
      <c r="Q45" s="84">
        <f>(O45-$O$35)/$O$35</f>
        <v>-0.2483628922</v>
      </c>
      <c r="R45" s="85"/>
      <c r="S45" s="84">
        <f t="array" ref="S45">INDEX($C$30:$Z$30, INT((ROW(A11)+1)/2))</f>
        <v>-0.2483628922</v>
      </c>
      <c r="T45" s="85"/>
    </row>
    <row r="46" ht="15.75" customHeight="1">
      <c r="B46" s="17"/>
      <c r="C46" s="28"/>
      <c r="D46" s="88">
        <v>2.0</v>
      </c>
      <c r="E46" s="83">
        <v>8.0</v>
      </c>
      <c r="F46" s="78"/>
      <c r="G46" s="79"/>
      <c r="H46" s="78"/>
      <c r="I46" s="79"/>
      <c r="J46" s="78"/>
      <c r="K46" s="79"/>
      <c r="L46" s="78"/>
      <c r="M46" s="79"/>
      <c r="N46" s="78"/>
      <c r="O46" s="79"/>
      <c r="P46" s="78"/>
      <c r="Q46" s="79"/>
      <c r="R46" s="78"/>
      <c r="S46" s="79"/>
      <c r="T46" s="78"/>
    </row>
    <row r="47" ht="15.75" customHeight="1">
      <c r="B47" s="17"/>
      <c r="C47" s="87">
        <v>50.0</v>
      </c>
      <c r="D47" s="88">
        <v>1.0</v>
      </c>
      <c r="E47" s="83">
        <v>7.0</v>
      </c>
      <c r="F47" s="78"/>
      <c r="G47" s="84">
        <f>AVERAGE(E47:F48)</f>
        <v>6.5</v>
      </c>
      <c r="H47" s="85"/>
      <c r="I47" s="84">
        <f>(G47/10)*100</f>
        <v>65</v>
      </c>
      <c r="J47" s="85"/>
      <c r="K47" s="84">
        <f>(G47/$E$35)*100</f>
        <v>108.3333333</v>
      </c>
      <c r="L47" s="85"/>
      <c r="M47" s="84">
        <f>I29</f>
        <v>0.6206999685</v>
      </c>
      <c r="N47" s="85"/>
      <c r="O47" s="84">
        <f>(K47*M47)/100</f>
        <v>0.6724249659</v>
      </c>
      <c r="P47" s="85"/>
      <c r="Q47" s="84">
        <f>(O47-$O$35)/$O$35</f>
        <v>-0.4236357435</v>
      </c>
      <c r="R47" s="85"/>
      <c r="S47" s="84">
        <f t="array" ref="S47">INDEX($C$30:$Z$30, INT((ROW(A13)+1)/2))</f>
        <v>-0.3793000315</v>
      </c>
      <c r="T47" s="85"/>
      <c r="U47" s="131" t="s">
        <v>52</v>
      </c>
    </row>
    <row r="48" ht="15.75" customHeight="1">
      <c r="B48" s="17"/>
      <c r="C48" s="28"/>
      <c r="D48" s="88">
        <v>2.0</v>
      </c>
      <c r="E48" s="83">
        <v>6.0</v>
      </c>
      <c r="F48" s="78"/>
      <c r="G48" s="79"/>
      <c r="H48" s="78"/>
      <c r="I48" s="79"/>
      <c r="J48" s="78"/>
      <c r="K48" s="79"/>
      <c r="L48" s="78"/>
      <c r="M48" s="79"/>
      <c r="N48" s="78"/>
      <c r="O48" s="79"/>
      <c r="P48" s="78"/>
      <c r="Q48" s="79"/>
      <c r="R48" s="78"/>
      <c r="S48" s="79"/>
      <c r="T48" s="78"/>
    </row>
    <row r="49" ht="15.75" customHeight="1">
      <c r="B49" s="17"/>
      <c r="C49" s="87">
        <v>75.0</v>
      </c>
      <c r="D49" s="88">
        <v>1.0</v>
      </c>
      <c r="E49" s="83">
        <v>9.0</v>
      </c>
      <c r="F49" s="78"/>
      <c r="G49" s="84">
        <f>AVERAGE(E49:F50)</f>
        <v>7.5</v>
      </c>
      <c r="H49" s="85"/>
      <c r="I49" s="84">
        <f>(G49/10)*100</f>
        <v>75</v>
      </c>
      <c r="J49" s="85"/>
      <c r="K49" s="84">
        <f>(G49/$E$35)*100</f>
        <v>125</v>
      </c>
      <c r="L49" s="85"/>
      <c r="M49" s="84">
        <f>J29</f>
        <v>0.449572533</v>
      </c>
      <c r="N49" s="85"/>
      <c r="O49" s="84">
        <f>(K49*M49)/100</f>
        <v>0.5619656662</v>
      </c>
      <c r="P49" s="85"/>
      <c r="Q49" s="84">
        <f>(O49-$O$35)/$O$35</f>
        <v>-0.5183151432</v>
      </c>
      <c r="R49" s="85"/>
      <c r="S49" s="84">
        <f t="array" ref="S49">INDEX($C$30:$Z$30, INT((ROW(A15)+1)/2))</f>
        <v>-0.550427467</v>
      </c>
      <c r="T49" s="85"/>
    </row>
    <row r="50" ht="15.75" customHeight="1">
      <c r="A50" s="89"/>
      <c r="B50" s="17"/>
      <c r="C50" s="28"/>
      <c r="D50" s="88">
        <v>2.0</v>
      </c>
      <c r="E50" s="83">
        <v>6.0</v>
      </c>
      <c r="F50" s="78"/>
      <c r="G50" s="79"/>
      <c r="H50" s="78"/>
      <c r="I50" s="79"/>
      <c r="J50" s="78"/>
      <c r="K50" s="79"/>
      <c r="L50" s="78"/>
      <c r="M50" s="79"/>
      <c r="N50" s="78"/>
      <c r="O50" s="79"/>
      <c r="P50" s="78"/>
      <c r="Q50" s="79"/>
      <c r="R50" s="78"/>
      <c r="S50" s="79"/>
      <c r="T50" s="78"/>
    </row>
    <row r="51" ht="15.75" customHeight="1">
      <c r="A51" s="89"/>
      <c r="B51" s="17"/>
      <c r="C51" s="87">
        <v>100.0</v>
      </c>
      <c r="D51" s="88">
        <v>1.0</v>
      </c>
      <c r="E51" s="90">
        <v>6.0</v>
      </c>
      <c r="F51" s="10"/>
      <c r="G51" s="84">
        <f>AVERAGE(E51:F52)</f>
        <v>4</v>
      </c>
      <c r="H51" s="85"/>
      <c r="I51" s="84">
        <f>(G51/10)*100</f>
        <v>40</v>
      </c>
      <c r="J51" s="85"/>
      <c r="K51" s="84">
        <f>(G51/$E$35)*100</f>
        <v>66.66666667</v>
      </c>
      <c r="L51" s="85"/>
      <c r="M51" s="84">
        <f>K29</f>
        <v>0.3172919509</v>
      </c>
      <c r="N51" s="85"/>
      <c r="O51" s="84">
        <f>(K51*M51)/100</f>
        <v>0.2115279673</v>
      </c>
      <c r="P51" s="85"/>
      <c r="Q51" s="84">
        <f>(O51-$O$35)/$O$35</f>
        <v>-0.8186903138</v>
      </c>
      <c r="R51" s="85"/>
      <c r="S51" s="84">
        <f t="array" ref="S51">INDEX($C$30:$Z$30, INT((ROW(A17)+1)/2))</f>
        <v>-0.6827080491</v>
      </c>
      <c r="T51" s="85"/>
    </row>
    <row r="52" ht="15.75" customHeight="1">
      <c r="A52" s="89"/>
      <c r="B52" s="28"/>
      <c r="C52" s="28"/>
      <c r="D52" s="88">
        <v>2.0</v>
      </c>
      <c r="E52" s="90">
        <v>2.0</v>
      </c>
      <c r="F52" s="10"/>
      <c r="G52" s="79"/>
      <c r="H52" s="78"/>
      <c r="I52" s="79"/>
      <c r="J52" s="78"/>
      <c r="K52" s="79"/>
      <c r="L52" s="78"/>
      <c r="M52" s="79"/>
      <c r="N52" s="78"/>
      <c r="O52" s="79"/>
      <c r="P52" s="78"/>
      <c r="Q52" s="79"/>
      <c r="R52" s="78"/>
      <c r="S52" s="79"/>
      <c r="T52" s="78"/>
    </row>
    <row r="53" ht="15.75" customHeight="1">
      <c r="A53" s="89"/>
      <c r="B53" s="92" t="s">
        <v>5</v>
      </c>
      <c r="C53" s="93">
        <v>0.0</v>
      </c>
      <c r="D53" s="94">
        <v>1.0</v>
      </c>
      <c r="E53" s="90">
        <v>8.0</v>
      </c>
      <c r="F53" s="10"/>
      <c r="G53" s="84">
        <f>AVERAGE(E53:F54)</f>
        <v>7.5</v>
      </c>
      <c r="H53" s="85"/>
      <c r="I53" s="84">
        <f>(G53/10)*100</f>
        <v>75</v>
      </c>
      <c r="J53" s="85"/>
      <c r="K53" s="84">
        <f>(G53/$E$35)*100</f>
        <v>125</v>
      </c>
      <c r="L53" s="85"/>
      <c r="M53" s="84">
        <f>L29</f>
        <v>1.469872669</v>
      </c>
      <c r="N53" s="85"/>
      <c r="O53" s="84">
        <f>(K53*M53)/100</f>
        <v>1.837340837</v>
      </c>
      <c r="P53" s="85"/>
      <c r="Q53" s="84">
        <f>(O53-$O$35)/$O$35</f>
        <v>0.5748635744</v>
      </c>
      <c r="R53" s="85"/>
      <c r="S53" s="84">
        <f t="array" ref="S53">INDEX($C$30:$Z$30, INT((ROW(A19)+1)/2))</f>
        <v>0.4698726694</v>
      </c>
      <c r="T53" s="85"/>
    </row>
    <row r="54" ht="15.75" customHeight="1">
      <c r="A54" s="89"/>
      <c r="B54" s="17"/>
      <c r="C54" s="28"/>
      <c r="D54" s="94">
        <v>2.0</v>
      </c>
      <c r="E54" s="90">
        <v>7.0</v>
      </c>
      <c r="F54" s="10"/>
      <c r="G54" s="79"/>
      <c r="H54" s="78"/>
      <c r="I54" s="79"/>
      <c r="J54" s="78"/>
      <c r="K54" s="79"/>
      <c r="L54" s="78"/>
      <c r="M54" s="79"/>
      <c r="N54" s="78"/>
      <c r="O54" s="79"/>
      <c r="P54" s="78"/>
      <c r="Q54" s="79"/>
      <c r="R54" s="78"/>
      <c r="S54" s="79"/>
      <c r="T54" s="78"/>
    </row>
    <row r="55" ht="15.75" customHeight="1">
      <c r="A55" s="89"/>
      <c r="B55" s="17"/>
      <c r="C55" s="93">
        <v>25.0</v>
      </c>
      <c r="D55" s="94">
        <v>1.0</v>
      </c>
      <c r="E55" s="90">
        <v>9.0</v>
      </c>
      <c r="F55" s="10"/>
      <c r="G55" s="84">
        <f>AVERAGE(E55:F56)</f>
        <v>8</v>
      </c>
      <c r="H55" s="85"/>
      <c r="I55" s="84">
        <f>(G55/10)*100</f>
        <v>80</v>
      </c>
      <c r="J55" s="85"/>
      <c r="K55" s="84">
        <f>(G55/$E$35)*100</f>
        <v>133.3333333</v>
      </c>
      <c r="L55" s="85"/>
      <c r="M55" s="84">
        <f>M29</f>
        <v>0.783709925</v>
      </c>
      <c r="N55" s="85"/>
      <c r="O55" s="84">
        <f>(K55*M55)/100</f>
        <v>1.044946567</v>
      </c>
      <c r="P55" s="85"/>
      <c r="Q55" s="84">
        <f>(O55-$O$35)/$O$35</f>
        <v>-0.1043315143</v>
      </c>
      <c r="R55" s="85"/>
      <c r="S55" s="84">
        <f t="array" ref="S55">INDEX($C$30:$Z$30, INT((ROW(A21)+1)/2))</f>
        <v>-0.216290075</v>
      </c>
      <c r="T55" s="85"/>
    </row>
    <row r="56" ht="15.75" customHeight="1">
      <c r="A56" s="89"/>
      <c r="B56" s="17"/>
      <c r="C56" s="28"/>
      <c r="D56" s="94">
        <v>2.0</v>
      </c>
      <c r="E56" s="90">
        <v>7.0</v>
      </c>
      <c r="F56" s="10"/>
      <c r="G56" s="79"/>
      <c r="H56" s="78"/>
      <c r="I56" s="79"/>
      <c r="J56" s="78"/>
      <c r="K56" s="79"/>
      <c r="L56" s="78"/>
      <c r="M56" s="79"/>
      <c r="N56" s="78"/>
      <c r="O56" s="79"/>
      <c r="P56" s="78"/>
      <c r="Q56" s="79"/>
      <c r="R56" s="78"/>
      <c r="S56" s="79"/>
      <c r="T56" s="78"/>
    </row>
    <row r="57" ht="15.75" customHeight="1">
      <c r="A57" s="89"/>
      <c r="B57" s="17"/>
      <c r="C57" s="93">
        <v>50.0</v>
      </c>
      <c r="D57" s="94">
        <v>1.0</v>
      </c>
      <c r="E57" s="90">
        <v>8.0</v>
      </c>
      <c r="F57" s="10"/>
      <c r="G57" s="84">
        <f>AVERAGE(E57:F58)</f>
        <v>7.5</v>
      </c>
      <c r="H57" s="85"/>
      <c r="I57" s="84">
        <f>(G57/10)*100</f>
        <v>75</v>
      </c>
      <c r="J57" s="85"/>
      <c r="K57" s="84">
        <f>(G57/$E$35)*100</f>
        <v>125</v>
      </c>
      <c r="L57" s="85"/>
      <c r="M57" s="84">
        <f>N29</f>
        <v>0.4723010459</v>
      </c>
      <c r="N57" s="85"/>
      <c r="O57" s="84">
        <f>(K57*M57)/100</f>
        <v>0.5903763074</v>
      </c>
      <c r="P57" s="85"/>
      <c r="Q57" s="84">
        <f>(O57-$O$35)/$O$35</f>
        <v>-0.4939631651</v>
      </c>
      <c r="R57" s="85"/>
      <c r="S57" s="84">
        <f t="array" ref="S57">INDEX($C$30:$Z$30, INT((ROW(A23)+1)/2))</f>
        <v>-0.5276989541</v>
      </c>
      <c r="T57" s="85"/>
    </row>
    <row r="58" ht="15.75" customHeight="1">
      <c r="A58" s="89"/>
      <c r="B58" s="17"/>
      <c r="C58" s="28"/>
      <c r="D58" s="94">
        <v>2.0</v>
      </c>
      <c r="E58" s="90">
        <v>7.0</v>
      </c>
      <c r="F58" s="10"/>
      <c r="G58" s="79"/>
      <c r="H58" s="78"/>
      <c r="I58" s="79"/>
      <c r="J58" s="78"/>
      <c r="K58" s="79"/>
      <c r="L58" s="78"/>
      <c r="M58" s="79"/>
      <c r="N58" s="78"/>
      <c r="O58" s="79"/>
      <c r="P58" s="78"/>
      <c r="Q58" s="79"/>
      <c r="R58" s="78"/>
      <c r="S58" s="79"/>
      <c r="T58" s="78"/>
    </row>
    <row r="59" ht="15.75" customHeight="1">
      <c r="A59" s="95"/>
      <c r="B59" s="17"/>
      <c r="C59" s="93">
        <v>75.0</v>
      </c>
      <c r="D59" s="94">
        <v>1.0</v>
      </c>
      <c r="E59" s="90">
        <v>6.0</v>
      </c>
      <c r="F59" s="10"/>
      <c r="G59" s="84">
        <f>AVERAGE(E59:F60)</f>
        <v>8</v>
      </c>
      <c r="H59" s="85"/>
      <c r="I59" s="84">
        <f>(G59/10)*100</f>
        <v>80</v>
      </c>
      <c r="J59" s="85"/>
      <c r="K59" s="84">
        <f>(G59/$E$35)*100</f>
        <v>133.3333333</v>
      </c>
      <c r="L59" s="85"/>
      <c r="M59" s="84">
        <f>O29</f>
        <v>0.416162176</v>
      </c>
      <c r="N59" s="85"/>
      <c r="O59" s="84">
        <f>(K59*M59)/100</f>
        <v>0.5548829013</v>
      </c>
      <c r="P59" s="85"/>
      <c r="Q59" s="84">
        <f>(O59-$O$35)/$O$35</f>
        <v>-0.5243860846</v>
      </c>
      <c r="R59" s="85"/>
      <c r="S59" s="84">
        <f t="array" ref="S59">INDEX($C$30:$Z$30, INT((ROW(A25)+1)/2))</f>
        <v>-0.583837824</v>
      </c>
      <c r="T59" s="85"/>
    </row>
    <row r="60" ht="15.75" customHeight="1">
      <c r="A60" s="95"/>
      <c r="B60" s="17"/>
      <c r="C60" s="28"/>
      <c r="D60" s="94">
        <v>2.0</v>
      </c>
      <c r="E60" s="90">
        <v>10.0</v>
      </c>
      <c r="F60" s="10"/>
      <c r="G60" s="79"/>
      <c r="H60" s="78"/>
      <c r="I60" s="79"/>
      <c r="J60" s="78"/>
      <c r="K60" s="79"/>
      <c r="L60" s="78"/>
      <c r="M60" s="79"/>
      <c r="N60" s="78"/>
      <c r="O60" s="79"/>
      <c r="P60" s="78"/>
      <c r="Q60" s="79"/>
      <c r="R60" s="78"/>
      <c r="S60" s="79"/>
      <c r="T60" s="78"/>
    </row>
    <row r="61" ht="15.75" customHeight="1">
      <c r="B61" s="17"/>
      <c r="C61" s="93">
        <v>100.0</v>
      </c>
      <c r="D61" s="94">
        <v>1.0</v>
      </c>
      <c r="E61" s="90">
        <v>8.0</v>
      </c>
      <c r="F61" s="10"/>
      <c r="G61" s="84">
        <f>AVERAGE(E61:F62)</f>
        <v>4.5</v>
      </c>
      <c r="H61" s="85"/>
      <c r="I61" s="84">
        <f>(G61/10)*100</f>
        <v>45</v>
      </c>
      <c r="J61" s="85"/>
      <c r="K61" s="84">
        <f>(G61/$E$35)*100</f>
        <v>75</v>
      </c>
      <c r="L61" s="85"/>
      <c r="M61" s="84">
        <f>P29</f>
        <v>0.3690995907</v>
      </c>
      <c r="N61" s="85"/>
      <c r="O61" s="84">
        <f>(K61*M61)/100</f>
        <v>0.276824693</v>
      </c>
      <c r="P61" s="85"/>
      <c r="Q61" s="84">
        <f>(O61-$O$35)/$O$35</f>
        <v>-0.7627216917</v>
      </c>
      <c r="R61" s="85"/>
      <c r="S61" s="84">
        <f t="array" ref="S61">INDEX($C$30:$Z$30, INT((ROW(A27)+1)/2))</f>
        <v>-0.6309004093</v>
      </c>
      <c r="T61" s="85"/>
    </row>
    <row r="62" ht="15.75" customHeight="1">
      <c r="B62" s="28"/>
      <c r="C62" s="28"/>
      <c r="D62" s="94">
        <v>2.0</v>
      </c>
      <c r="E62" s="90">
        <v>1.0</v>
      </c>
      <c r="F62" s="10"/>
      <c r="G62" s="79"/>
      <c r="H62" s="78"/>
      <c r="I62" s="79"/>
      <c r="J62" s="78"/>
      <c r="K62" s="79"/>
      <c r="L62" s="78"/>
      <c r="M62" s="79"/>
      <c r="N62" s="78"/>
      <c r="O62" s="79"/>
      <c r="P62" s="78"/>
      <c r="Q62" s="79"/>
      <c r="R62" s="78"/>
      <c r="S62" s="79"/>
      <c r="T62" s="78"/>
    </row>
    <row r="63" ht="15.75" customHeight="1">
      <c r="B63" s="96" t="s">
        <v>6</v>
      </c>
      <c r="C63" s="97">
        <v>0.0</v>
      </c>
      <c r="D63" s="98">
        <v>1.0</v>
      </c>
      <c r="E63" s="90">
        <v>7.0</v>
      </c>
      <c r="F63" s="10"/>
      <c r="G63" s="84">
        <f>AVERAGE(E63:F64)</f>
        <v>8</v>
      </c>
      <c r="H63" s="85"/>
      <c r="I63" s="84">
        <f>(G63/10)*100</f>
        <v>80</v>
      </c>
      <c r="J63" s="85"/>
      <c r="K63" s="84">
        <f>(G63/$E$35)*100</f>
        <v>133.3333333</v>
      </c>
      <c r="L63" s="85"/>
      <c r="M63" s="84">
        <f>Q29</f>
        <v>1.143498465</v>
      </c>
      <c r="N63" s="85"/>
      <c r="O63" s="84">
        <f>(K63*M63)/100</f>
        <v>1.52466462</v>
      </c>
      <c r="P63" s="85"/>
      <c r="Q63" s="84">
        <f>(O63-$O$35)/$O$35</f>
        <v>0.3068553888</v>
      </c>
      <c r="R63" s="85"/>
      <c r="S63" s="84">
        <f t="array" ref="S63">INDEX($C$30:$Z$30, INT((ROW(A29)+1)/2))</f>
        <v>0.1434984652</v>
      </c>
      <c r="T63" s="85"/>
    </row>
    <row r="64" ht="15.75" customHeight="1">
      <c r="B64" s="17"/>
      <c r="C64" s="28"/>
      <c r="D64" s="98">
        <v>2.0</v>
      </c>
      <c r="E64" s="90">
        <v>9.0</v>
      </c>
      <c r="F64" s="10"/>
      <c r="G64" s="79"/>
      <c r="H64" s="78"/>
      <c r="I64" s="79"/>
      <c r="J64" s="78"/>
      <c r="K64" s="79"/>
      <c r="L64" s="78"/>
      <c r="M64" s="79"/>
      <c r="N64" s="78"/>
      <c r="O64" s="79"/>
      <c r="P64" s="78"/>
      <c r="Q64" s="79"/>
      <c r="R64" s="78"/>
      <c r="S64" s="79"/>
      <c r="T64" s="78"/>
    </row>
    <row r="65" ht="15.75" customHeight="1">
      <c r="B65" s="17"/>
      <c r="C65" s="97">
        <v>25.0</v>
      </c>
      <c r="D65" s="98">
        <v>1.0</v>
      </c>
      <c r="E65" s="90">
        <v>7.0</v>
      </c>
      <c r="F65" s="10"/>
      <c r="G65" s="84">
        <f>AVERAGE(E65:F66)</f>
        <v>7</v>
      </c>
      <c r="H65" s="85"/>
      <c r="I65" s="84">
        <f>(G65/10)*100</f>
        <v>70</v>
      </c>
      <c r="J65" s="85"/>
      <c r="K65" s="84">
        <f>(G65/$E$35)*100</f>
        <v>116.6666667</v>
      </c>
      <c r="L65" s="85"/>
      <c r="M65" s="84">
        <f>R29</f>
        <v>0.7782060027</v>
      </c>
      <c r="N65" s="85"/>
      <c r="O65" s="84">
        <f>(K65*M65)/100</f>
        <v>0.9079070032</v>
      </c>
      <c r="P65" s="85"/>
      <c r="Q65" s="84">
        <f>(O65-$O$35)/$O$35</f>
        <v>-0.2217939973</v>
      </c>
      <c r="R65" s="85"/>
      <c r="S65" s="84">
        <f t="array" ref="S65">INDEX($C$30:$Z$30, INT((ROW(A31)+1)/2))</f>
        <v>-0.2217939973</v>
      </c>
      <c r="T65" s="85"/>
    </row>
    <row r="66" ht="15.75" customHeight="1">
      <c r="B66" s="17"/>
      <c r="C66" s="28"/>
      <c r="D66" s="98">
        <v>2.0</v>
      </c>
      <c r="E66" s="90">
        <v>7.0</v>
      </c>
      <c r="F66" s="10"/>
      <c r="G66" s="79"/>
      <c r="H66" s="78"/>
      <c r="I66" s="79"/>
      <c r="J66" s="78"/>
      <c r="K66" s="79"/>
      <c r="L66" s="78"/>
      <c r="M66" s="79"/>
      <c r="N66" s="78"/>
      <c r="O66" s="79"/>
      <c r="P66" s="78"/>
      <c r="Q66" s="79"/>
      <c r="R66" s="78"/>
      <c r="S66" s="79"/>
      <c r="T66" s="78"/>
    </row>
    <row r="67" ht="15.75" customHeight="1">
      <c r="B67" s="17"/>
      <c r="C67" s="97">
        <v>50.0</v>
      </c>
      <c r="D67" s="98">
        <v>1.0</v>
      </c>
      <c r="E67" s="90">
        <v>6.0</v>
      </c>
      <c r="F67" s="10"/>
      <c r="G67" s="84">
        <f>AVERAGE(E67:F68)</f>
        <v>6.5</v>
      </c>
      <c r="H67" s="85"/>
      <c r="I67" s="84">
        <f>(G67/10)*100</f>
        <v>65</v>
      </c>
      <c r="J67" s="85"/>
      <c r="K67" s="84">
        <f>(G67/$E$35)*100</f>
        <v>108.3333333</v>
      </c>
      <c r="L67" s="85"/>
      <c r="M67" s="84">
        <f>S29</f>
        <v>0.5673680344</v>
      </c>
      <c r="N67" s="85"/>
      <c r="O67" s="84">
        <f>(K67*M67)/100</f>
        <v>0.614648704</v>
      </c>
      <c r="P67" s="85"/>
      <c r="Q67" s="84">
        <f>(O67-$O$35)/$O$35</f>
        <v>-0.4731582538</v>
      </c>
      <c r="R67" s="85"/>
      <c r="S67" s="84">
        <f t="array" ref="S67">INDEX($C$30:$Z$30, INT((ROW(A33)+1)/2))</f>
        <v>-0.4326319656</v>
      </c>
      <c r="T67" s="85"/>
    </row>
    <row r="68" ht="15.75" customHeight="1">
      <c r="B68" s="17"/>
      <c r="C68" s="28"/>
      <c r="D68" s="98">
        <v>2.0</v>
      </c>
      <c r="E68" s="90">
        <v>7.0</v>
      </c>
      <c r="F68" s="10"/>
      <c r="G68" s="79"/>
      <c r="H68" s="78"/>
      <c r="I68" s="79"/>
      <c r="J68" s="78"/>
      <c r="K68" s="79"/>
      <c r="L68" s="78"/>
      <c r="M68" s="79"/>
      <c r="N68" s="78"/>
      <c r="O68" s="79"/>
      <c r="P68" s="78"/>
      <c r="Q68" s="79"/>
      <c r="R68" s="78"/>
      <c r="S68" s="79"/>
      <c r="T68" s="78"/>
    </row>
    <row r="69" ht="15.75" customHeight="1">
      <c r="B69" s="17"/>
      <c r="C69" s="97">
        <v>75.0</v>
      </c>
      <c r="D69" s="98">
        <v>1.0</v>
      </c>
      <c r="E69" s="90">
        <v>7.0</v>
      </c>
      <c r="F69" s="10"/>
      <c r="G69" s="84">
        <f>AVERAGE(E69:F70)</f>
        <v>7.5</v>
      </c>
      <c r="H69" s="85"/>
      <c r="I69" s="84">
        <f>(G69/10)*100</f>
        <v>75</v>
      </c>
      <c r="J69" s="85"/>
      <c r="K69" s="84">
        <f>(G69/$E$35)*100</f>
        <v>125</v>
      </c>
      <c r="L69" s="85"/>
      <c r="M69" s="84">
        <f>T29</f>
        <v>0.4991359709</v>
      </c>
      <c r="N69" s="85"/>
      <c r="O69" s="84">
        <f>(K69*M69)/100</f>
        <v>0.6239199636</v>
      </c>
      <c r="P69" s="85"/>
      <c r="Q69" s="84">
        <f>(O69-$O$35)/$O$35</f>
        <v>-0.4652114598</v>
      </c>
      <c r="R69" s="85"/>
      <c r="S69" s="84">
        <f t="array" ref="S69">INDEX($C$30:$Z$30, INT((ROW(A35)+1)/2))</f>
        <v>-0.5008640291</v>
      </c>
      <c r="T69" s="85"/>
    </row>
    <row r="70" ht="15.75" customHeight="1">
      <c r="B70" s="17"/>
      <c r="C70" s="28"/>
      <c r="D70" s="98">
        <v>2.0</v>
      </c>
      <c r="E70" s="90">
        <v>8.0</v>
      </c>
      <c r="F70" s="10"/>
      <c r="G70" s="79"/>
      <c r="H70" s="78"/>
      <c r="I70" s="79"/>
      <c r="J70" s="78"/>
      <c r="K70" s="79"/>
      <c r="L70" s="78"/>
      <c r="M70" s="79"/>
      <c r="N70" s="78"/>
      <c r="O70" s="79"/>
      <c r="P70" s="78"/>
      <c r="Q70" s="79"/>
      <c r="R70" s="78"/>
      <c r="S70" s="79"/>
      <c r="T70" s="78"/>
    </row>
    <row r="71" ht="15.75" customHeight="1">
      <c r="B71" s="17"/>
      <c r="C71" s="97">
        <v>100.0</v>
      </c>
      <c r="D71" s="98">
        <v>1.0</v>
      </c>
      <c r="E71" s="90">
        <v>8.0</v>
      </c>
      <c r="F71" s="10"/>
      <c r="G71" s="84">
        <f>AVERAGE(E71:F72)</f>
        <v>8</v>
      </c>
      <c r="H71" s="85"/>
      <c r="I71" s="84">
        <f>(G71/10)*100</f>
        <v>80</v>
      </c>
      <c r="J71" s="85"/>
      <c r="K71" s="84">
        <f>(G71/$E$35)*100</f>
        <v>133.3333333</v>
      </c>
      <c r="L71" s="85"/>
      <c r="M71" s="84">
        <f>U29</f>
        <v>0.3200972033</v>
      </c>
      <c r="N71" s="85"/>
      <c r="O71" s="84">
        <f>(K71*M71)/100</f>
        <v>0.426796271</v>
      </c>
      <c r="P71" s="85"/>
      <c r="Q71" s="84">
        <f>(O71-$O$35)/$O$35</f>
        <v>-0.6341746248</v>
      </c>
      <c r="R71" s="85"/>
      <c r="S71" s="84">
        <f t="array" ref="S71">INDEX($C$30:$Z$30, INT((ROW(A37)+1)/2))</f>
        <v>-0.6799027967</v>
      </c>
      <c r="T71" s="85"/>
    </row>
    <row r="72" ht="15.75" customHeight="1">
      <c r="B72" s="28"/>
      <c r="C72" s="28"/>
      <c r="D72" s="98">
        <v>2.0</v>
      </c>
      <c r="E72" s="90">
        <v>8.0</v>
      </c>
      <c r="F72" s="10"/>
      <c r="G72" s="79"/>
      <c r="H72" s="78"/>
      <c r="I72" s="79"/>
      <c r="J72" s="78"/>
      <c r="K72" s="79"/>
      <c r="L72" s="78"/>
      <c r="M72" s="79"/>
      <c r="N72" s="78"/>
      <c r="O72" s="79"/>
      <c r="P72" s="78"/>
      <c r="Q72" s="79"/>
      <c r="R72" s="78"/>
      <c r="S72" s="79"/>
      <c r="T72" s="78"/>
    </row>
    <row r="73" ht="15.75" customHeight="1">
      <c r="B73" s="99" t="s">
        <v>7</v>
      </c>
      <c r="C73" s="100">
        <v>0.0</v>
      </c>
      <c r="D73" s="101">
        <v>1.0</v>
      </c>
      <c r="E73" s="90">
        <v>10.0</v>
      </c>
      <c r="F73" s="10"/>
      <c r="G73" s="84">
        <f>AVERAGE(E73:F74)</f>
        <v>9</v>
      </c>
      <c r="H73" s="85"/>
      <c r="I73" s="84">
        <f>(G73/10)*100</f>
        <v>90</v>
      </c>
      <c r="J73" s="85"/>
      <c r="K73" s="84">
        <f>(G73/$E$35)*100</f>
        <v>150</v>
      </c>
      <c r="L73" s="85"/>
      <c r="M73" s="84">
        <f>V29</f>
        <v>1.446210399</v>
      </c>
      <c r="N73" s="85"/>
      <c r="O73" s="84">
        <f>(K73*M73)/100</f>
        <v>2.169315598</v>
      </c>
      <c r="P73" s="85"/>
      <c r="Q73" s="84">
        <f>(O73-$O$35)/$O$35</f>
        <v>0.8594133697</v>
      </c>
      <c r="R73" s="85"/>
      <c r="S73" s="84">
        <f t="array" ref="S73">INDEX($C$30:$Z$30, INT((ROW(A39)+1)/2))</f>
        <v>0.4462103987</v>
      </c>
      <c r="T73" s="85"/>
    </row>
    <row r="74" ht="15.75" customHeight="1">
      <c r="B74" s="17"/>
      <c r="C74" s="28"/>
      <c r="D74" s="101">
        <v>2.0</v>
      </c>
      <c r="E74" s="90">
        <v>8.0</v>
      </c>
      <c r="F74" s="10"/>
      <c r="G74" s="79"/>
      <c r="H74" s="78"/>
      <c r="I74" s="79"/>
      <c r="J74" s="78"/>
      <c r="K74" s="79"/>
      <c r="L74" s="78"/>
      <c r="M74" s="79"/>
      <c r="N74" s="78"/>
      <c r="O74" s="79"/>
      <c r="P74" s="78"/>
      <c r="Q74" s="79"/>
      <c r="R74" s="78"/>
      <c r="S74" s="79"/>
      <c r="T74" s="78"/>
    </row>
    <row r="75" ht="15.75" customHeight="1">
      <c r="B75" s="17"/>
      <c r="C75" s="100">
        <v>25.0</v>
      </c>
      <c r="D75" s="101">
        <v>1.0</v>
      </c>
      <c r="E75" s="90">
        <v>8.0</v>
      </c>
      <c r="F75" s="10"/>
      <c r="G75" s="84">
        <f>AVERAGE(E75:F76)</f>
        <v>8</v>
      </c>
      <c r="H75" s="85"/>
      <c r="I75" s="84">
        <f>(G75/10)*100</f>
        <v>80</v>
      </c>
      <c r="J75" s="85"/>
      <c r="K75" s="84">
        <f>(G75/$E$35)*100</f>
        <v>133.3333333</v>
      </c>
      <c r="L75" s="85"/>
      <c r="M75" s="84">
        <f>W29</f>
        <v>1.027916098</v>
      </c>
      <c r="N75" s="85"/>
      <c r="O75" s="84">
        <f>(K75*M75)/100</f>
        <v>1.370554798</v>
      </c>
      <c r="P75" s="85"/>
      <c r="Q75" s="84">
        <f>(O75-$O$35)/$O$35</f>
        <v>0.1747612551</v>
      </c>
      <c r="R75" s="85"/>
      <c r="S75" s="84">
        <f t="array" ref="S75">INDEX($C$30:$Z$30, INT((ROW(A41)+1)/2))</f>
        <v>0.02791609823</v>
      </c>
      <c r="T75" s="85"/>
    </row>
    <row r="76" ht="15.75" customHeight="1">
      <c r="B76" s="17"/>
      <c r="C76" s="28"/>
      <c r="D76" s="101">
        <v>2.0</v>
      </c>
      <c r="E76" s="90">
        <v>8.0</v>
      </c>
      <c r="F76" s="10"/>
      <c r="G76" s="79"/>
      <c r="H76" s="78"/>
      <c r="I76" s="79"/>
      <c r="J76" s="78"/>
      <c r="K76" s="79"/>
      <c r="L76" s="78"/>
      <c r="M76" s="79"/>
      <c r="N76" s="78"/>
      <c r="O76" s="79"/>
      <c r="P76" s="78"/>
      <c r="Q76" s="79"/>
      <c r="R76" s="78"/>
      <c r="S76" s="79"/>
      <c r="T76" s="78"/>
    </row>
    <row r="77" ht="15.75" customHeight="1">
      <c r="B77" s="17"/>
      <c r="C77" s="100">
        <v>50.0</v>
      </c>
      <c r="D77" s="101">
        <v>1.0</v>
      </c>
      <c r="E77" s="90">
        <v>8.0</v>
      </c>
      <c r="F77" s="10"/>
      <c r="G77" s="84">
        <f>AVERAGE(E77:F78)</f>
        <v>8.5</v>
      </c>
      <c r="H77" s="85"/>
      <c r="I77" s="84">
        <f>(G77/10)*100</f>
        <v>85</v>
      </c>
      <c r="J77" s="85"/>
      <c r="K77" s="84">
        <f>(G77/$E$35)*100</f>
        <v>141.6666667</v>
      </c>
      <c r="L77" s="85"/>
      <c r="M77" s="84">
        <f>X29</f>
        <v>0.7215666212</v>
      </c>
      <c r="N77" s="85"/>
      <c r="O77" s="84">
        <f>(K77*M77)/100</f>
        <v>1.02221938</v>
      </c>
      <c r="P77" s="85"/>
      <c r="Q77" s="84">
        <f>(O77-$O$35)/$O$35</f>
        <v>-0.12381196</v>
      </c>
      <c r="R77" s="85"/>
      <c r="S77" s="84">
        <f t="array" ref="S77">INDEX($C$30:$Z$30, INT((ROW(A43)+1)/2))</f>
        <v>-0.2784333788</v>
      </c>
      <c r="T77" s="85"/>
    </row>
    <row r="78" ht="15.75" customHeight="1">
      <c r="B78" s="17"/>
      <c r="C78" s="28"/>
      <c r="D78" s="101">
        <v>2.0</v>
      </c>
      <c r="E78" s="90">
        <v>9.0</v>
      </c>
      <c r="F78" s="10"/>
      <c r="G78" s="79"/>
      <c r="H78" s="78"/>
      <c r="I78" s="79"/>
      <c r="J78" s="78"/>
      <c r="K78" s="79"/>
      <c r="L78" s="78"/>
      <c r="M78" s="79"/>
      <c r="N78" s="78"/>
      <c r="O78" s="79"/>
      <c r="P78" s="78"/>
      <c r="Q78" s="79"/>
      <c r="R78" s="78"/>
      <c r="S78" s="79"/>
      <c r="T78" s="78"/>
    </row>
    <row r="79" ht="15.75" customHeight="1">
      <c r="B79" s="17"/>
      <c r="C79" s="100">
        <v>75.0</v>
      </c>
      <c r="D79" s="101">
        <v>1.0</v>
      </c>
      <c r="E79" s="90">
        <v>8.0</v>
      </c>
      <c r="F79" s="10"/>
      <c r="G79" s="84">
        <f>AVERAGE(E79:F80)</f>
        <v>7</v>
      </c>
      <c r="H79" s="85"/>
      <c r="I79" s="84">
        <f>(G79/10)*100</f>
        <v>70</v>
      </c>
      <c r="J79" s="85"/>
      <c r="K79" s="84">
        <f>(G79/$E$35)*100</f>
        <v>116.6666667</v>
      </c>
      <c r="L79" s="85"/>
      <c r="M79" s="84">
        <f>Y29</f>
        <v>0.4371077763</v>
      </c>
      <c r="N79" s="85"/>
      <c r="O79" s="84">
        <f>(K79*M79)/100</f>
        <v>0.5099590723</v>
      </c>
      <c r="P79" s="85"/>
      <c r="Q79" s="84">
        <f>(O79-$O$35)/$O$35</f>
        <v>-0.5628922237</v>
      </c>
      <c r="R79" s="85"/>
      <c r="S79" s="84">
        <f t="array" ref="S79">INDEX($C$30:$Z$30, INT((ROW(A45)+1)/2))</f>
        <v>-0.5628922237</v>
      </c>
      <c r="T79" s="85"/>
    </row>
    <row r="80" ht="15.75" customHeight="1">
      <c r="B80" s="17"/>
      <c r="C80" s="28"/>
      <c r="D80" s="101">
        <v>2.0</v>
      </c>
      <c r="E80" s="90">
        <v>6.0</v>
      </c>
      <c r="F80" s="10"/>
      <c r="G80" s="79"/>
      <c r="H80" s="78"/>
      <c r="I80" s="79"/>
      <c r="J80" s="78"/>
      <c r="K80" s="79"/>
      <c r="L80" s="78"/>
      <c r="M80" s="79"/>
      <c r="N80" s="78"/>
      <c r="O80" s="79"/>
      <c r="P80" s="78"/>
      <c r="Q80" s="79"/>
      <c r="R80" s="78"/>
      <c r="S80" s="79"/>
      <c r="T80" s="78"/>
    </row>
    <row r="81" ht="15.75" customHeight="1">
      <c r="B81" s="17"/>
      <c r="C81" s="100">
        <v>100.0</v>
      </c>
      <c r="D81" s="101">
        <v>1.0</v>
      </c>
      <c r="E81" s="90">
        <v>5.0</v>
      </c>
      <c r="F81" s="10"/>
      <c r="G81" s="84">
        <f>AVERAGE(E81:F82)</f>
        <v>5.5</v>
      </c>
      <c r="H81" s="85"/>
      <c r="I81" s="84">
        <f>(G81/10)*100</f>
        <v>55</v>
      </c>
      <c r="J81" s="85"/>
      <c r="K81" s="84">
        <f>(G81/$E$35)*100</f>
        <v>91.66666667</v>
      </c>
      <c r="L81" s="85"/>
      <c r="M81" s="84">
        <f>Z29</f>
        <v>0.3012092273</v>
      </c>
      <c r="N81" s="85"/>
      <c r="O81" s="84">
        <f>(K81*M81)/100</f>
        <v>0.2761084584</v>
      </c>
      <c r="P81" s="85"/>
      <c r="Q81" s="84">
        <f>(O81-$O$35)/$O$35</f>
        <v>-0.7633356071</v>
      </c>
      <c r="R81" s="85"/>
      <c r="S81" s="84">
        <f t="array" ref="S81">INDEX($C$30:$Z$30, INT((ROW(A47)+1)/2))</f>
        <v>-0.6987907727</v>
      </c>
      <c r="T81" s="85"/>
    </row>
    <row r="82" ht="15.75" customHeight="1">
      <c r="B82" s="28"/>
      <c r="C82" s="28"/>
      <c r="D82" s="101">
        <v>2.0</v>
      </c>
      <c r="E82" s="90">
        <v>6.0</v>
      </c>
      <c r="F82" s="10"/>
      <c r="G82" s="79"/>
      <c r="H82" s="78"/>
      <c r="I82" s="79"/>
      <c r="J82" s="78"/>
      <c r="K82" s="79"/>
      <c r="L82" s="78"/>
      <c r="M82" s="79"/>
      <c r="N82" s="78"/>
      <c r="O82" s="79"/>
      <c r="P82" s="78"/>
      <c r="Q82" s="79"/>
      <c r="R82" s="78"/>
      <c r="S82" s="79"/>
      <c r="T82" s="78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102"/>
      <c r="I1" s="1"/>
      <c r="J1" s="1"/>
    </row>
    <row r="2" ht="15.75" customHeight="1">
      <c r="A2" s="1"/>
      <c r="B2" s="71" t="s">
        <v>20</v>
      </c>
      <c r="C2" s="71" t="s">
        <v>21</v>
      </c>
      <c r="D2" s="71" t="s">
        <v>28</v>
      </c>
      <c r="E2" s="71" t="s">
        <v>24</v>
      </c>
      <c r="F2" s="71" t="s">
        <v>25</v>
      </c>
      <c r="G2" s="71" t="s">
        <v>26</v>
      </c>
      <c r="H2" s="71" t="s">
        <v>17</v>
      </c>
      <c r="I2" s="71" t="s">
        <v>27</v>
      </c>
      <c r="J2" s="71" t="s">
        <v>18</v>
      </c>
      <c r="L2" s="103" t="s">
        <v>29</v>
      </c>
      <c r="M2" s="104" t="s">
        <v>30</v>
      </c>
      <c r="O2" s="105"/>
      <c r="P2" s="105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106" t="s">
        <v>31</v>
      </c>
      <c r="M3" s="107" t="s">
        <v>32</v>
      </c>
    </row>
    <row r="4" ht="15.75" customHeight="1">
      <c r="A4" s="108"/>
      <c r="B4" s="109" t="s">
        <v>4</v>
      </c>
      <c r="C4" s="110">
        <v>0.0</v>
      </c>
      <c r="D4" s="111">
        <f t="shared" ref="D4:D23" si="1">INDIRECT("'Dia 14'!G" &amp; (43 + (ROW(A1) - 1) * 2))</f>
        <v>6</v>
      </c>
      <c r="E4" s="111">
        <f t="shared" ref="E4:E23" si="2">INDIRECT("'Dia 14'!I" &amp; 43 + (ROW(A1)-1)*2)</f>
        <v>60</v>
      </c>
      <c r="F4" s="111">
        <f t="shared" ref="F4:F23" si="3">INDIRECT("'Dia 14'!K" &amp; 43 + (ROW(A1)-1)*2)</f>
        <v>100</v>
      </c>
      <c r="G4" s="111">
        <f t="shared" ref="G4:G23" si="4">INDIRECT("'Dia 14'!O" &amp; 43 + (ROW(A1)-1)*2)</f>
        <v>1.520208049</v>
      </c>
      <c r="H4" s="111">
        <f t="shared" ref="H4:H23" si="5">INDIRECT("'Dia 14'!M" &amp; 43 + (ROW(A1)-1)*2)</f>
        <v>1.520208049</v>
      </c>
      <c r="I4" s="111">
        <f t="shared" ref="I4:I23" si="6">INDIRECT("'Dia 14'!Q" &amp; 43 + (ROW(A1)-1)*2)</f>
        <v>0.3030354707</v>
      </c>
      <c r="J4" s="111">
        <f t="shared" ref="J4:J23" si="7">INDIRECT("'Dia 14'!S" &amp; 43 + (ROW(A1)-1)*2)</f>
        <v>0.5202080491</v>
      </c>
      <c r="K4" s="112"/>
      <c r="L4" s="113" t="s">
        <v>33</v>
      </c>
      <c r="M4" s="114" t="s">
        <v>34</v>
      </c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</row>
    <row r="5" ht="15.75" customHeight="1">
      <c r="A5" s="108"/>
      <c r="B5" s="17"/>
      <c r="C5" s="110">
        <v>25.0</v>
      </c>
      <c r="D5" s="111">
        <f t="shared" si="1"/>
        <v>7</v>
      </c>
      <c r="E5" s="111">
        <f t="shared" si="2"/>
        <v>70</v>
      </c>
      <c r="F5" s="111">
        <f t="shared" si="3"/>
        <v>116.6666667</v>
      </c>
      <c r="G5" s="111">
        <f t="shared" si="4"/>
        <v>0.8769099591</v>
      </c>
      <c r="H5" s="111">
        <f t="shared" si="5"/>
        <v>0.7516371078</v>
      </c>
      <c r="I5" s="111">
        <f t="shared" si="6"/>
        <v>-0.2483628922</v>
      </c>
      <c r="J5" s="111">
        <f t="shared" si="7"/>
        <v>-0.2483628922</v>
      </c>
      <c r="K5" s="112"/>
      <c r="L5" s="115" t="s">
        <v>35</v>
      </c>
      <c r="M5" s="116" t="s">
        <v>36</v>
      </c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ht="15.75" customHeight="1">
      <c r="A6" s="108"/>
      <c r="B6" s="17"/>
      <c r="C6" s="110">
        <v>50.0</v>
      </c>
      <c r="D6" s="111">
        <f t="shared" si="1"/>
        <v>6.5</v>
      </c>
      <c r="E6" s="111">
        <f t="shared" si="2"/>
        <v>65</v>
      </c>
      <c r="F6" s="111">
        <f t="shared" si="3"/>
        <v>108.3333333</v>
      </c>
      <c r="G6" s="111">
        <f t="shared" si="4"/>
        <v>0.6724249659</v>
      </c>
      <c r="H6" s="111">
        <f t="shared" si="5"/>
        <v>0.6206999685</v>
      </c>
      <c r="I6" s="111">
        <f t="shared" si="6"/>
        <v>-0.4236357435</v>
      </c>
      <c r="J6" s="111">
        <f t="shared" si="7"/>
        <v>-0.3793000315</v>
      </c>
      <c r="K6" s="112"/>
      <c r="L6" s="115" t="s">
        <v>37</v>
      </c>
      <c r="M6" s="117" t="s">
        <v>38</v>
      </c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ht="15.75" customHeight="1">
      <c r="A7" s="108"/>
      <c r="B7" s="17"/>
      <c r="C7" s="110">
        <v>75.0</v>
      </c>
      <c r="D7" s="111">
        <f t="shared" si="1"/>
        <v>7.5</v>
      </c>
      <c r="E7" s="111">
        <f t="shared" si="2"/>
        <v>75</v>
      </c>
      <c r="F7" s="111">
        <f t="shared" si="3"/>
        <v>125</v>
      </c>
      <c r="G7" s="111">
        <f t="shared" si="4"/>
        <v>0.5619656662</v>
      </c>
      <c r="H7" s="111">
        <f t="shared" si="5"/>
        <v>0.449572533</v>
      </c>
      <c r="I7" s="111">
        <f t="shared" si="6"/>
        <v>-0.5183151432</v>
      </c>
      <c r="J7" s="111">
        <f t="shared" si="7"/>
        <v>-0.550427467</v>
      </c>
      <c r="K7" s="112"/>
      <c r="L7" s="118"/>
      <c r="M7" s="118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ht="15.75" customHeight="1">
      <c r="A8" s="108">
        <v>100.0</v>
      </c>
      <c r="B8" s="28"/>
      <c r="C8" s="110">
        <v>100.0</v>
      </c>
      <c r="D8" s="111">
        <f t="shared" si="1"/>
        <v>4</v>
      </c>
      <c r="E8" s="111">
        <f t="shared" si="2"/>
        <v>40</v>
      </c>
      <c r="F8" s="111">
        <f t="shared" si="3"/>
        <v>66.66666667</v>
      </c>
      <c r="G8" s="111">
        <f t="shared" si="4"/>
        <v>0.2115279673</v>
      </c>
      <c r="H8" s="111">
        <f t="shared" si="5"/>
        <v>0.3172919509</v>
      </c>
      <c r="I8" s="111">
        <f t="shared" si="6"/>
        <v>-0.8186903138</v>
      </c>
      <c r="J8" s="111">
        <f t="shared" si="7"/>
        <v>-0.6827080491</v>
      </c>
      <c r="K8" s="112"/>
      <c r="L8" s="119" t="s">
        <v>39</v>
      </c>
      <c r="M8" s="120" t="s">
        <v>40</v>
      </c>
      <c r="N8" s="7"/>
      <c r="O8" s="10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ht="15.75" customHeight="1">
      <c r="A9" s="108"/>
      <c r="B9" s="121" t="s">
        <v>5</v>
      </c>
      <c r="C9" s="122">
        <v>0.0</v>
      </c>
      <c r="D9" s="111">
        <f t="shared" si="1"/>
        <v>7.5</v>
      </c>
      <c r="E9" s="111">
        <f t="shared" si="2"/>
        <v>75</v>
      </c>
      <c r="F9" s="111">
        <f t="shared" si="3"/>
        <v>125</v>
      </c>
      <c r="G9" s="111">
        <f t="shared" si="4"/>
        <v>1.837340837</v>
      </c>
      <c r="H9" s="111">
        <f t="shared" si="5"/>
        <v>1.469872669</v>
      </c>
      <c r="I9" s="111">
        <f t="shared" si="6"/>
        <v>0.5748635744</v>
      </c>
      <c r="J9" s="111">
        <f t="shared" si="7"/>
        <v>0.4698726694</v>
      </c>
      <c r="K9" s="112"/>
      <c r="L9" s="119" t="s">
        <v>41</v>
      </c>
      <c r="M9" s="120" t="s">
        <v>42</v>
      </c>
      <c r="N9" s="7"/>
      <c r="O9" s="10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ht="15.75" customHeight="1">
      <c r="A10" s="108"/>
      <c r="B10" s="17"/>
      <c r="C10" s="122">
        <v>25.0</v>
      </c>
      <c r="D10" s="111">
        <f t="shared" si="1"/>
        <v>8</v>
      </c>
      <c r="E10" s="111">
        <f t="shared" si="2"/>
        <v>80</v>
      </c>
      <c r="F10" s="111">
        <f t="shared" si="3"/>
        <v>133.3333333</v>
      </c>
      <c r="G10" s="111">
        <f t="shared" si="4"/>
        <v>1.044946567</v>
      </c>
      <c r="H10" s="111">
        <f t="shared" si="5"/>
        <v>0.783709925</v>
      </c>
      <c r="I10" s="111">
        <f t="shared" si="6"/>
        <v>-0.1043315143</v>
      </c>
      <c r="J10" s="111">
        <f t="shared" si="7"/>
        <v>-0.216290075</v>
      </c>
      <c r="K10" s="112"/>
      <c r="L10" s="119" t="s">
        <v>43</v>
      </c>
      <c r="M10" s="120" t="s">
        <v>44</v>
      </c>
      <c r="N10" s="7"/>
      <c r="O10" s="10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ht="15.75" customHeight="1">
      <c r="B11" s="17"/>
      <c r="C11" s="122">
        <v>50.0</v>
      </c>
      <c r="D11" s="111">
        <f t="shared" si="1"/>
        <v>7.5</v>
      </c>
      <c r="E11" s="111">
        <f t="shared" si="2"/>
        <v>75</v>
      </c>
      <c r="F11" s="111">
        <f t="shared" si="3"/>
        <v>125</v>
      </c>
      <c r="G11" s="111">
        <f t="shared" si="4"/>
        <v>0.5903763074</v>
      </c>
      <c r="H11" s="111">
        <f t="shared" si="5"/>
        <v>0.4723010459</v>
      </c>
      <c r="I11" s="111">
        <f t="shared" si="6"/>
        <v>-0.4939631651</v>
      </c>
      <c r="J11" s="111">
        <f t="shared" si="7"/>
        <v>-0.5276989541</v>
      </c>
      <c r="L11" s="119" t="s">
        <v>45</v>
      </c>
      <c r="M11" s="120" t="s">
        <v>46</v>
      </c>
      <c r="N11" s="7"/>
      <c r="O11" s="10"/>
    </row>
    <row r="12" ht="15.75" customHeight="1">
      <c r="B12" s="17"/>
      <c r="C12" s="122">
        <v>75.0</v>
      </c>
      <c r="D12" s="111">
        <f t="shared" si="1"/>
        <v>8</v>
      </c>
      <c r="E12" s="111">
        <f t="shared" si="2"/>
        <v>80</v>
      </c>
      <c r="F12" s="111">
        <f t="shared" si="3"/>
        <v>133.3333333</v>
      </c>
      <c r="G12" s="111">
        <f t="shared" si="4"/>
        <v>0.5548829013</v>
      </c>
      <c r="H12" s="111">
        <f t="shared" si="5"/>
        <v>0.416162176</v>
      </c>
      <c r="I12" s="111">
        <f t="shared" si="6"/>
        <v>-0.5243860846</v>
      </c>
      <c r="J12" s="111">
        <f t="shared" si="7"/>
        <v>-0.583837824</v>
      </c>
      <c r="L12" s="119" t="s">
        <v>47</v>
      </c>
      <c r="M12" s="120" t="s">
        <v>48</v>
      </c>
      <c r="N12" s="7"/>
      <c r="O12" s="10"/>
    </row>
    <row r="13" ht="15.75" customHeight="1">
      <c r="B13" s="28"/>
      <c r="C13" s="122">
        <v>100.0</v>
      </c>
      <c r="D13" s="111">
        <f t="shared" si="1"/>
        <v>4.5</v>
      </c>
      <c r="E13" s="111">
        <f t="shared" si="2"/>
        <v>45</v>
      </c>
      <c r="F13" s="111">
        <f t="shared" si="3"/>
        <v>75</v>
      </c>
      <c r="G13" s="111">
        <f t="shared" si="4"/>
        <v>0.276824693</v>
      </c>
      <c r="H13" s="111">
        <f t="shared" si="5"/>
        <v>0.3690995907</v>
      </c>
      <c r="I13" s="111">
        <f t="shared" si="6"/>
        <v>-0.7627216917</v>
      </c>
      <c r="J13" s="111">
        <f t="shared" si="7"/>
        <v>-0.6309004093</v>
      </c>
      <c r="L13" s="119" t="s">
        <v>49</v>
      </c>
      <c r="M13" s="120" t="s">
        <v>50</v>
      </c>
      <c r="N13" s="7"/>
      <c r="O13" s="10"/>
    </row>
    <row r="14" ht="15.75" customHeight="1">
      <c r="B14" s="123" t="s">
        <v>6</v>
      </c>
      <c r="C14" s="124">
        <v>0.0</v>
      </c>
      <c r="D14" s="111">
        <f t="shared" si="1"/>
        <v>8</v>
      </c>
      <c r="E14" s="111">
        <f t="shared" si="2"/>
        <v>80</v>
      </c>
      <c r="F14" s="111">
        <f t="shared" si="3"/>
        <v>133.3333333</v>
      </c>
      <c r="G14" s="111">
        <f t="shared" si="4"/>
        <v>1.52466462</v>
      </c>
      <c r="H14" s="111">
        <f t="shared" si="5"/>
        <v>1.143498465</v>
      </c>
      <c r="I14" s="111">
        <f t="shared" si="6"/>
        <v>0.3068553888</v>
      </c>
      <c r="J14" s="111">
        <f t="shared" si="7"/>
        <v>0.1434984652</v>
      </c>
      <c r="K14" s="125"/>
      <c r="L14" s="112"/>
    </row>
    <row r="15" ht="15.75" customHeight="1">
      <c r="B15" s="17"/>
      <c r="C15" s="124">
        <v>25.0</v>
      </c>
      <c r="D15" s="111">
        <f t="shared" si="1"/>
        <v>7</v>
      </c>
      <c r="E15" s="111">
        <f t="shared" si="2"/>
        <v>70</v>
      </c>
      <c r="F15" s="111">
        <f t="shared" si="3"/>
        <v>116.6666667</v>
      </c>
      <c r="G15" s="111">
        <f t="shared" si="4"/>
        <v>0.9079070032</v>
      </c>
      <c r="H15" s="111">
        <f t="shared" si="5"/>
        <v>0.7782060027</v>
      </c>
      <c r="I15" s="111">
        <f t="shared" si="6"/>
        <v>-0.2217939973</v>
      </c>
      <c r="J15" s="111">
        <f t="shared" si="7"/>
        <v>-0.2217939973</v>
      </c>
      <c r="K15" s="125"/>
      <c r="L15" s="112"/>
    </row>
    <row r="16" ht="15.75" customHeight="1">
      <c r="B16" s="17"/>
      <c r="C16" s="124">
        <v>50.0</v>
      </c>
      <c r="D16" s="111">
        <f t="shared" si="1"/>
        <v>6.5</v>
      </c>
      <c r="E16" s="111">
        <f t="shared" si="2"/>
        <v>65</v>
      </c>
      <c r="F16" s="111">
        <f t="shared" si="3"/>
        <v>108.3333333</v>
      </c>
      <c r="G16" s="111">
        <f t="shared" si="4"/>
        <v>0.614648704</v>
      </c>
      <c r="H16" s="111">
        <f t="shared" si="5"/>
        <v>0.5673680344</v>
      </c>
      <c r="I16" s="111">
        <f t="shared" si="6"/>
        <v>-0.4731582538</v>
      </c>
      <c r="J16" s="111">
        <f t="shared" si="7"/>
        <v>-0.4326319656</v>
      </c>
      <c r="K16" s="125"/>
      <c r="L16" s="112"/>
    </row>
    <row r="17" ht="15.75" customHeight="1">
      <c r="B17" s="17"/>
      <c r="C17" s="124">
        <v>75.0</v>
      </c>
      <c r="D17" s="111">
        <f t="shared" si="1"/>
        <v>7.5</v>
      </c>
      <c r="E17" s="111">
        <f t="shared" si="2"/>
        <v>75</v>
      </c>
      <c r="F17" s="111">
        <f t="shared" si="3"/>
        <v>125</v>
      </c>
      <c r="G17" s="111">
        <f t="shared" si="4"/>
        <v>0.6239199636</v>
      </c>
      <c r="H17" s="111">
        <f t="shared" si="5"/>
        <v>0.4991359709</v>
      </c>
      <c r="I17" s="111">
        <f t="shared" si="6"/>
        <v>-0.4652114598</v>
      </c>
      <c r="J17" s="111">
        <f t="shared" si="7"/>
        <v>-0.5008640291</v>
      </c>
      <c r="K17" s="125"/>
      <c r="L17" s="112"/>
    </row>
    <row r="18" ht="15.75" customHeight="1">
      <c r="B18" s="28"/>
      <c r="C18" s="124">
        <v>100.0</v>
      </c>
      <c r="D18" s="111">
        <f t="shared" si="1"/>
        <v>8</v>
      </c>
      <c r="E18" s="111">
        <f t="shared" si="2"/>
        <v>80</v>
      </c>
      <c r="F18" s="111">
        <f t="shared" si="3"/>
        <v>133.3333333</v>
      </c>
      <c r="G18" s="111">
        <f t="shared" si="4"/>
        <v>0.426796271</v>
      </c>
      <c r="H18" s="111">
        <f t="shared" si="5"/>
        <v>0.3200972033</v>
      </c>
      <c r="I18" s="111">
        <f t="shared" si="6"/>
        <v>-0.6341746248</v>
      </c>
      <c r="J18" s="111">
        <f t="shared" si="7"/>
        <v>-0.6799027967</v>
      </c>
      <c r="K18" s="125"/>
      <c r="L18" s="112"/>
    </row>
    <row r="19" ht="15.75" customHeight="1">
      <c r="B19" s="126" t="s">
        <v>7</v>
      </c>
      <c r="C19" s="127">
        <v>0.0</v>
      </c>
      <c r="D19" s="111">
        <f t="shared" si="1"/>
        <v>9</v>
      </c>
      <c r="E19" s="111">
        <f t="shared" si="2"/>
        <v>90</v>
      </c>
      <c r="F19" s="111">
        <f t="shared" si="3"/>
        <v>150</v>
      </c>
      <c r="G19" s="111">
        <f t="shared" si="4"/>
        <v>2.169315598</v>
      </c>
      <c r="H19" s="111">
        <f t="shared" si="5"/>
        <v>1.446210399</v>
      </c>
      <c r="I19" s="111">
        <f t="shared" si="6"/>
        <v>0.8594133697</v>
      </c>
      <c r="J19" s="111">
        <f t="shared" si="7"/>
        <v>0.4462103987</v>
      </c>
      <c r="K19" s="125"/>
      <c r="L19" s="112"/>
    </row>
    <row r="20" ht="15.75" customHeight="1">
      <c r="B20" s="17"/>
      <c r="C20" s="127">
        <v>25.0</v>
      </c>
      <c r="D20" s="111">
        <f t="shared" si="1"/>
        <v>8</v>
      </c>
      <c r="E20" s="111">
        <f t="shared" si="2"/>
        <v>80</v>
      </c>
      <c r="F20" s="111">
        <f t="shared" si="3"/>
        <v>133.3333333</v>
      </c>
      <c r="G20" s="111">
        <f t="shared" si="4"/>
        <v>1.370554798</v>
      </c>
      <c r="H20" s="111">
        <f t="shared" si="5"/>
        <v>1.027916098</v>
      </c>
      <c r="I20" s="111">
        <f t="shared" si="6"/>
        <v>0.1747612551</v>
      </c>
      <c r="J20" s="111">
        <f t="shared" si="7"/>
        <v>0.02791609823</v>
      </c>
      <c r="K20" s="125"/>
      <c r="L20" s="112"/>
    </row>
    <row r="21" ht="15.75" customHeight="1">
      <c r="B21" s="17"/>
      <c r="C21" s="127">
        <v>50.0</v>
      </c>
      <c r="D21" s="111">
        <f t="shared" si="1"/>
        <v>8.5</v>
      </c>
      <c r="E21" s="111">
        <f t="shared" si="2"/>
        <v>85</v>
      </c>
      <c r="F21" s="111">
        <f t="shared" si="3"/>
        <v>141.6666667</v>
      </c>
      <c r="G21" s="111">
        <f t="shared" si="4"/>
        <v>1.02221938</v>
      </c>
      <c r="H21" s="111">
        <f t="shared" si="5"/>
        <v>0.7215666212</v>
      </c>
      <c r="I21" s="111">
        <f t="shared" si="6"/>
        <v>-0.12381196</v>
      </c>
      <c r="J21" s="111">
        <f t="shared" si="7"/>
        <v>-0.2784333788</v>
      </c>
    </row>
    <row r="22" ht="15.75" customHeight="1">
      <c r="B22" s="17"/>
      <c r="C22" s="127">
        <v>75.0</v>
      </c>
      <c r="D22" s="111">
        <f t="shared" si="1"/>
        <v>7</v>
      </c>
      <c r="E22" s="111">
        <f t="shared" si="2"/>
        <v>70</v>
      </c>
      <c r="F22" s="111">
        <f t="shared" si="3"/>
        <v>116.6666667</v>
      </c>
      <c r="G22" s="111">
        <f t="shared" si="4"/>
        <v>0.5099590723</v>
      </c>
      <c r="H22" s="111">
        <f t="shared" si="5"/>
        <v>0.4371077763</v>
      </c>
      <c r="I22" s="111">
        <f t="shared" si="6"/>
        <v>-0.5628922237</v>
      </c>
      <c r="J22" s="111">
        <f t="shared" si="7"/>
        <v>-0.5628922237</v>
      </c>
    </row>
    <row r="23" ht="15.75" customHeight="1">
      <c r="B23" s="28"/>
      <c r="C23" s="127">
        <v>100.0</v>
      </c>
      <c r="D23" s="111">
        <f t="shared" si="1"/>
        <v>5.5</v>
      </c>
      <c r="E23" s="111">
        <f t="shared" si="2"/>
        <v>55</v>
      </c>
      <c r="F23" s="111">
        <f t="shared" si="3"/>
        <v>91.66666667</v>
      </c>
      <c r="G23" s="111">
        <f t="shared" si="4"/>
        <v>0.2761084584</v>
      </c>
      <c r="H23" s="111">
        <f t="shared" si="5"/>
        <v>0.3012092273</v>
      </c>
      <c r="I23" s="111">
        <f t="shared" si="6"/>
        <v>-0.7633356071</v>
      </c>
      <c r="J23" s="111">
        <f t="shared" si="7"/>
        <v>-0.6987907727</v>
      </c>
    </row>
    <row r="24" ht="15.75" customHeight="1">
      <c r="B24" s="128" t="s">
        <v>51</v>
      </c>
      <c r="C24" s="10"/>
      <c r="D24" s="111">
        <f>'Dia 14'!G35</f>
        <v>7</v>
      </c>
      <c r="E24" s="111">
        <f>'Dia 14'!I35</f>
        <v>70</v>
      </c>
      <c r="F24" s="111">
        <f>'Dia 14'!K35</f>
        <v>116.6666667</v>
      </c>
      <c r="G24" s="111">
        <f>'Dia 14'!O35</f>
        <v>1.166666667</v>
      </c>
      <c r="H24" s="111">
        <f>'Dia 14'!M35</f>
        <v>1</v>
      </c>
      <c r="I24" s="139">
        <f>'Dia 14'!Q35</f>
        <v>0</v>
      </c>
      <c r="J24" s="139">
        <f>'Dia 14'!S35</f>
        <v>0</v>
      </c>
    </row>
    <row r="25" ht="15.75" customHeight="1">
      <c r="B25" s="128" t="s">
        <v>11</v>
      </c>
      <c r="C25" s="10"/>
      <c r="D25" s="111">
        <f>'Dia 14'!G41</f>
        <v>6</v>
      </c>
      <c r="E25" s="111">
        <f>'Dia 14'!I41</f>
        <v>60</v>
      </c>
      <c r="F25" s="111">
        <f>'Dia 14'!K41</f>
        <v>100</v>
      </c>
      <c r="G25" s="111">
        <f>'Dia 14'!O41</f>
        <v>0.1253012733</v>
      </c>
      <c r="H25" s="111">
        <f>'Dia 14'!M41</f>
        <v>0.1253012733</v>
      </c>
      <c r="I25" s="138">
        <f>'Dia 14'!Q41</f>
        <v>-0.8925989086</v>
      </c>
      <c r="J25" s="138">
        <f>'Dia 14'!S41</f>
        <v>-0.8746987267</v>
      </c>
    </row>
    <row r="26" ht="15.75" customHeight="1">
      <c r="B26" s="131"/>
      <c r="H26" s="132"/>
    </row>
    <row r="27" ht="15.75" customHeight="1">
      <c r="B27" s="131"/>
      <c r="H27" s="132"/>
    </row>
    <row r="28" ht="15.75" customHeight="1">
      <c r="H28" s="132"/>
    </row>
    <row r="29" ht="15.75" customHeight="1">
      <c r="H29" s="132"/>
    </row>
    <row r="30" ht="15.75" customHeight="1">
      <c r="H30" s="132"/>
    </row>
    <row r="31" ht="15.75" customHeight="1">
      <c r="H31" s="132"/>
    </row>
    <row r="32" ht="15.75" customHeight="1">
      <c r="H32" s="132"/>
    </row>
    <row r="33" ht="15.75" customHeight="1">
      <c r="H33" s="132"/>
    </row>
    <row r="34" ht="15.75" customHeight="1">
      <c r="H34" s="132"/>
    </row>
    <row r="35" ht="15.75" customHeight="1">
      <c r="H35" s="132"/>
    </row>
    <row r="36" ht="15.75" customHeight="1">
      <c r="H36" s="132"/>
    </row>
    <row r="37" ht="15.75" customHeight="1">
      <c r="H37" s="132"/>
    </row>
    <row r="38" ht="15.75" customHeight="1">
      <c r="H38" s="132"/>
    </row>
    <row r="39" ht="15.75" customHeight="1">
      <c r="H39" s="132"/>
    </row>
    <row r="40" ht="15.75" customHeight="1">
      <c r="H40" s="132"/>
    </row>
    <row r="41" ht="15.75" customHeight="1">
      <c r="H41" s="132"/>
    </row>
    <row r="42" ht="15.75" customHeight="1">
      <c r="H42" s="132"/>
    </row>
    <row r="43" ht="15.75" customHeight="1">
      <c r="H43" s="132"/>
    </row>
    <row r="44" ht="15.75" customHeight="1">
      <c r="H44" s="132"/>
    </row>
    <row r="45" ht="15.75" customHeight="1">
      <c r="H45" s="132"/>
    </row>
    <row r="46" ht="15.75" customHeight="1">
      <c r="H46" s="132"/>
    </row>
    <row r="47" ht="15.75" customHeight="1">
      <c r="H47" s="132"/>
    </row>
    <row r="48" ht="15.75" customHeight="1">
      <c r="H48" s="132"/>
    </row>
    <row r="49" ht="15.75" customHeight="1">
      <c r="H49" s="132"/>
    </row>
    <row r="50" ht="15.75" customHeight="1">
      <c r="H50" s="132"/>
    </row>
    <row r="51" ht="15.75" customHeight="1">
      <c r="H51" s="132"/>
    </row>
    <row r="52" ht="15.75" customHeight="1">
      <c r="H52" s="132"/>
    </row>
    <row r="53" ht="15.75" customHeight="1">
      <c r="H53" s="132"/>
    </row>
    <row r="54" ht="15.75" customHeight="1">
      <c r="H54" s="132"/>
    </row>
    <row r="55" ht="15.75" customHeight="1">
      <c r="H55" s="132"/>
    </row>
    <row r="56" ht="15.75" customHeight="1">
      <c r="H56" s="132"/>
    </row>
    <row r="57" ht="15.75" customHeight="1">
      <c r="H57" s="132"/>
    </row>
    <row r="58" ht="15.75" customHeight="1">
      <c r="H58" s="132"/>
    </row>
    <row r="59" ht="15.75" customHeight="1">
      <c r="H59" s="132"/>
    </row>
    <row r="60" ht="15.75" customHeight="1">
      <c r="H60" s="132"/>
    </row>
    <row r="61" ht="15.75" customHeight="1">
      <c r="H61" s="132"/>
    </row>
    <row r="62" ht="15.75" customHeight="1">
      <c r="H62" s="132"/>
    </row>
    <row r="63" ht="15.75" customHeight="1">
      <c r="H63" s="132"/>
    </row>
    <row r="64" ht="15.75" customHeight="1">
      <c r="H64" s="132"/>
    </row>
    <row r="65" ht="15.75" customHeight="1">
      <c r="H65" s="132"/>
    </row>
    <row r="66" ht="15.75" customHeight="1">
      <c r="H66" s="132"/>
    </row>
    <row r="67" ht="15.75" customHeight="1">
      <c r="H67" s="132"/>
    </row>
    <row r="68" ht="15.75" customHeight="1">
      <c r="H68" s="132"/>
    </row>
    <row r="69" ht="15.75" customHeight="1">
      <c r="H69" s="132"/>
    </row>
    <row r="70" ht="15.75" customHeight="1">
      <c r="H70" s="132"/>
    </row>
    <row r="71" ht="15.75" customHeight="1">
      <c r="H71" s="132"/>
    </row>
    <row r="72" ht="15.75" customHeight="1">
      <c r="H72" s="132"/>
    </row>
    <row r="73" ht="15.75" customHeight="1">
      <c r="H73" s="132"/>
    </row>
    <row r="74" ht="15.75" customHeight="1">
      <c r="H74" s="132"/>
    </row>
    <row r="75" ht="15.75" customHeight="1">
      <c r="H75" s="132"/>
    </row>
    <row r="76" ht="15.75" customHeight="1">
      <c r="H76" s="132"/>
    </row>
    <row r="77" ht="15.75" customHeight="1">
      <c r="H77" s="132"/>
    </row>
    <row r="78" ht="15.75" customHeight="1">
      <c r="H78" s="132"/>
    </row>
    <row r="79" ht="15.75" customHeight="1">
      <c r="H79" s="132"/>
    </row>
    <row r="80" ht="15.75" customHeight="1">
      <c r="H80" s="132"/>
    </row>
    <row r="81" ht="15.75" customHeight="1">
      <c r="H81" s="132"/>
    </row>
    <row r="82" ht="15.75" customHeight="1">
      <c r="H82" s="132"/>
    </row>
    <row r="83" ht="15.75" customHeight="1">
      <c r="H83" s="132"/>
    </row>
    <row r="84" ht="15.75" customHeight="1">
      <c r="H84" s="132"/>
    </row>
    <row r="85" ht="15.75" customHeight="1">
      <c r="H85" s="132"/>
    </row>
    <row r="86" ht="15.75" customHeight="1">
      <c r="H86" s="132"/>
    </row>
    <row r="87" ht="15.75" customHeight="1">
      <c r="H87" s="132"/>
    </row>
    <row r="88" ht="15.75" customHeight="1">
      <c r="H88" s="132"/>
    </row>
    <row r="89" ht="15.75" customHeight="1">
      <c r="H89" s="132"/>
    </row>
    <row r="90" ht="15.75" customHeight="1">
      <c r="H90" s="132"/>
    </row>
    <row r="91" ht="15.75" customHeight="1">
      <c r="H91" s="132"/>
    </row>
    <row r="92" ht="15.75" customHeight="1">
      <c r="H92" s="132"/>
    </row>
    <row r="93" ht="15.75" customHeight="1">
      <c r="H93" s="132"/>
    </row>
    <row r="94" ht="15.75" customHeight="1">
      <c r="H94" s="132"/>
    </row>
    <row r="95" ht="15.75" customHeight="1">
      <c r="H95" s="132"/>
    </row>
    <row r="96" ht="15.75" customHeight="1">
      <c r="H96" s="132"/>
    </row>
    <row r="97" ht="15.75" customHeight="1">
      <c r="H97" s="132"/>
    </row>
    <row r="98" ht="15.75" customHeight="1">
      <c r="H98" s="132"/>
    </row>
    <row r="99" ht="15.75" customHeight="1">
      <c r="H99" s="132"/>
    </row>
    <row r="100" ht="15.75" customHeight="1">
      <c r="H100" s="132"/>
    </row>
    <row r="101" ht="15.75" customHeight="1">
      <c r="H101" s="132"/>
    </row>
    <row r="102" ht="15.75" customHeight="1">
      <c r="H102" s="132"/>
    </row>
    <row r="103" ht="15.75" customHeight="1">
      <c r="H103" s="132"/>
    </row>
    <row r="104" ht="15.75" customHeight="1">
      <c r="H104" s="132"/>
    </row>
    <row r="105" ht="15.75" customHeight="1">
      <c r="H105" s="132"/>
    </row>
    <row r="106" ht="15.75" customHeight="1">
      <c r="H106" s="132"/>
    </row>
    <row r="107" ht="15.75" customHeight="1">
      <c r="H107" s="132"/>
    </row>
    <row r="108" ht="15.75" customHeight="1">
      <c r="H108" s="132"/>
    </row>
    <row r="109" ht="15.75" customHeight="1">
      <c r="H109" s="132"/>
    </row>
    <row r="110" ht="15.75" customHeight="1">
      <c r="H110" s="132"/>
    </row>
    <row r="111" ht="15.75" customHeight="1">
      <c r="H111" s="132"/>
    </row>
    <row r="112" ht="15.75" customHeight="1">
      <c r="H112" s="132"/>
    </row>
    <row r="113" ht="15.75" customHeight="1">
      <c r="H113" s="132"/>
    </row>
    <row r="114" ht="15.75" customHeight="1">
      <c r="H114" s="132"/>
    </row>
    <row r="115" ht="15.75" customHeight="1">
      <c r="H115" s="132"/>
    </row>
    <row r="116" ht="15.75" customHeight="1">
      <c r="H116" s="132"/>
    </row>
    <row r="117" ht="15.75" customHeight="1">
      <c r="H117" s="132"/>
    </row>
    <row r="118" ht="15.75" customHeight="1">
      <c r="H118" s="132"/>
    </row>
    <row r="119" ht="15.75" customHeight="1">
      <c r="H119" s="132"/>
    </row>
    <row r="120" ht="15.75" customHeight="1">
      <c r="H120" s="132"/>
    </row>
    <row r="121" ht="15.75" customHeight="1">
      <c r="H121" s="132"/>
    </row>
    <row r="122" ht="15.75" customHeight="1">
      <c r="H122" s="132"/>
    </row>
    <row r="123" ht="15.75" customHeight="1">
      <c r="H123" s="132"/>
    </row>
    <row r="124" ht="15.75" customHeight="1">
      <c r="H124" s="132"/>
    </row>
    <row r="125" ht="15.75" customHeight="1">
      <c r="H125" s="132"/>
    </row>
    <row r="126" ht="15.75" customHeight="1">
      <c r="H126" s="132"/>
    </row>
    <row r="127" ht="15.75" customHeight="1">
      <c r="H127" s="132"/>
    </row>
    <row r="128" ht="15.75" customHeight="1">
      <c r="H128" s="132"/>
    </row>
    <row r="129" ht="15.75" customHeight="1">
      <c r="H129" s="132"/>
    </row>
    <row r="130" ht="15.75" customHeight="1">
      <c r="H130" s="132"/>
    </row>
    <row r="131" ht="15.75" customHeight="1">
      <c r="H131" s="132"/>
    </row>
    <row r="132" ht="15.75" customHeight="1">
      <c r="H132" s="132"/>
    </row>
    <row r="133" ht="15.75" customHeight="1">
      <c r="H133" s="132"/>
    </row>
    <row r="134" ht="15.75" customHeight="1">
      <c r="H134" s="132"/>
    </row>
    <row r="135" ht="15.75" customHeight="1">
      <c r="H135" s="132"/>
    </row>
    <row r="136" ht="15.75" customHeight="1">
      <c r="H136" s="132"/>
    </row>
    <row r="137" ht="15.75" customHeight="1">
      <c r="H137" s="132"/>
    </row>
    <row r="138" ht="15.75" customHeight="1">
      <c r="H138" s="132"/>
    </row>
    <row r="139" ht="15.75" customHeight="1">
      <c r="H139" s="132"/>
    </row>
    <row r="140" ht="15.75" customHeight="1">
      <c r="H140" s="132"/>
    </row>
    <row r="141" ht="15.75" customHeight="1">
      <c r="H141" s="132"/>
    </row>
    <row r="142" ht="15.75" customHeight="1">
      <c r="H142" s="132"/>
    </row>
    <row r="143" ht="15.75" customHeight="1">
      <c r="H143" s="132"/>
    </row>
    <row r="144" ht="15.75" customHeight="1">
      <c r="H144" s="132"/>
    </row>
    <row r="145" ht="15.75" customHeight="1">
      <c r="H145" s="132"/>
    </row>
    <row r="146" ht="15.75" customHeight="1">
      <c r="H146" s="132"/>
    </row>
    <row r="147" ht="15.75" customHeight="1">
      <c r="H147" s="132"/>
    </row>
    <row r="148" ht="15.75" customHeight="1">
      <c r="H148" s="132"/>
    </row>
    <row r="149" ht="15.75" customHeight="1">
      <c r="H149" s="132"/>
    </row>
    <row r="150" ht="15.75" customHeight="1">
      <c r="H150" s="132"/>
    </row>
    <row r="151" ht="15.75" customHeight="1">
      <c r="H151" s="132"/>
    </row>
    <row r="152" ht="15.75" customHeight="1">
      <c r="H152" s="132"/>
    </row>
    <row r="153" ht="15.75" customHeight="1">
      <c r="H153" s="132"/>
    </row>
    <row r="154" ht="15.75" customHeight="1">
      <c r="H154" s="132"/>
    </row>
    <row r="155" ht="15.75" customHeight="1">
      <c r="H155" s="132"/>
    </row>
    <row r="156" ht="15.75" customHeight="1">
      <c r="H156" s="132"/>
    </row>
    <row r="157" ht="15.75" customHeight="1">
      <c r="H157" s="132"/>
    </row>
    <row r="158" ht="15.75" customHeight="1">
      <c r="H158" s="132"/>
    </row>
    <row r="159" ht="15.75" customHeight="1">
      <c r="H159" s="132"/>
    </row>
    <row r="160" ht="15.75" customHeight="1">
      <c r="H160" s="132"/>
    </row>
    <row r="161" ht="15.75" customHeight="1">
      <c r="H161" s="132"/>
    </row>
    <row r="162" ht="15.75" customHeight="1">
      <c r="H162" s="132"/>
    </row>
    <row r="163" ht="15.75" customHeight="1">
      <c r="H163" s="132"/>
    </row>
    <row r="164" ht="15.75" customHeight="1">
      <c r="H164" s="132"/>
    </row>
    <row r="165" ht="15.75" customHeight="1">
      <c r="H165" s="132"/>
    </row>
    <row r="166" ht="15.75" customHeight="1">
      <c r="H166" s="132"/>
    </row>
    <row r="167" ht="15.75" customHeight="1">
      <c r="H167" s="132"/>
    </row>
    <row r="168" ht="15.75" customHeight="1">
      <c r="H168" s="132"/>
    </row>
    <row r="169" ht="15.75" customHeight="1">
      <c r="H169" s="132"/>
    </row>
    <row r="170" ht="15.75" customHeight="1">
      <c r="H170" s="132"/>
    </row>
    <row r="171" ht="15.75" customHeight="1">
      <c r="H171" s="132"/>
    </row>
    <row r="172" ht="15.75" customHeight="1">
      <c r="H172" s="132"/>
    </row>
    <row r="173" ht="15.75" customHeight="1">
      <c r="H173" s="132"/>
    </row>
    <row r="174" ht="15.75" customHeight="1">
      <c r="H174" s="132"/>
    </row>
    <row r="175" ht="15.75" customHeight="1">
      <c r="H175" s="132"/>
    </row>
    <row r="176" ht="15.75" customHeight="1">
      <c r="H176" s="132"/>
    </row>
    <row r="177" ht="15.75" customHeight="1">
      <c r="H177" s="132"/>
    </row>
    <row r="178" ht="15.75" customHeight="1">
      <c r="H178" s="132"/>
    </row>
    <row r="179" ht="15.75" customHeight="1">
      <c r="H179" s="132"/>
    </row>
    <row r="180" ht="15.75" customHeight="1">
      <c r="H180" s="132"/>
    </row>
    <row r="181" ht="15.75" customHeight="1">
      <c r="H181" s="132"/>
    </row>
    <row r="182" ht="15.75" customHeight="1">
      <c r="H182" s="132"/>
    </row>
    <row r="183" ht="15.75" customHeight="1">
      <c r="H183" s="132"/>
    </row>
    <row r="184" ht="15.75" customHeight="1">
      <c r="H184" s="132"/>
    </row>
    <row r="185" ht="15.75" customHeight="1">
      <c r="H185" s="132"/>
    </row>
    <row r="186" ht="15.75" customHeight="1">
      <c r="H186" s="132"/>
    </row>
    <row r="187" ht="15.75" customHeight="1">
      <c r="H187" s="132"/>
    </row>
    <row r="188" ht="15.75" customHeight="1">
      <c r="H188" s="132"/>
    </row>
    <row r="189" ht="15.75" customHeight="1">
      <c r="H189" s="132"/>
    </row>
    <row r="190" ht="15.75" customHeight="1">
      <c r="H190" s="132"/>
    </row>
    <row r="191" ht="15.75" customHeight="1">
      <c r="H191" s="132"/>
    </row>
    <row r="192" ht="15.75" customHeight="1">
      <c r="H192" s="132"/>
    </row>
    <row r="193" ht="15.75" customHeight="1">
      <c r="H193" s="132"/>
    </row>
    <row r="194" ht="15.75" customHeight="1">
      <c r="H194" s="132"/>
    </row>
    <row r="195" ht="15.75" customHeight="1">
      <c r="H195" s="132"/>
    </row>
    <row r="196" ht="15.75" customHeight="1">
      <c r="H196" s="132"/>
    </row>
    <row r="197" ht="15.75" customHeight="1">
      <c r="H197" s="132"/>
    </row>
    <row r="198" ht="15.75" customHeight="1">
      <c r="H198" s="132"/>
    </row>
    <row r="199" ht="15.75" customHeight="1">
      <c r="H199" s="132"/>
    </row>
    <row r="200" ht="15.75" customHeight="1">
      <c r="H200" s="132"/>
    </row>
    <row r="201" ht="15.75" customHeight="1">
      <c r="H201" s="132"/>
    </row>
    <row r="202" ht="15.75" customHeight="1">
      <c r="H202" s="132"/>
    </row>
    <row r="203" ht="15.75" customHeight="1">
      <c r="H203" s="132"/>
    </row>
    <row r="204" ht="15.75" customHeight="1">
      <c r="H204" s="132"/>
    </row>
    <row r="205" ht="15.75" customHeight="1">
      <c r="H205" s="132"/>
    </row>
    <row r="206" ht="15.75" customHeight="1">
      <c r="H206" s="132"/>
    </row>
    <row r="207" ht="15.75" customHeight="1">
      <c r="H207" s="132"/>
    </row>
    <row r="208" ht="15.75" customHeight="1">
      <c r="H208" s="132"/>
    </row>
    <row r="209" ht="15.75" customHeight="1">
      <c r="H209" s="132"/>
    </row>
    <row r="210" ht="15.75" customHeight="1">
      <c r="H210" s="132"/>
    </row>
    <row r="211" ht="15.75" customHeight="1">
      <c r="H211" s="132"/>
    </row>
    <row r="212" ht="15.75" customHeight="1">
      <c r="H212" s="132"/>
    </row>
    <row r="213" ht="15.75" customHeight="1">
      <c r="H213" s="132"/>
    </row>
    <row r="214" ht="15.75" customHeight="1">
      <c r="H214" s="132"/>
    </row>
    <row r="215" ht="15.75" customHeight="1">
      <c r="H215" s="132"/>
    </row>
    <row r="216" ht="15.75" customHeight="1">
      <c r="H216" s="132"/>
    </row>
    <row r="217" ht="15.75" customHeight="1">
      <c r="H217" s="132"/>
    </row>
    <row r="218" ht="15.75" customHeight="1">
      <c r="H218" s="132"/>
    </row>
    <row r="219" ht="15.75" customHeight="1">
      <c r="H219" s="132"/>
    </row>
    <row r="220" ht="15.75" customHeight="1">
      <c r="H220" s="132"/>
    </row>
    <row r="221" ht="15.75" customHeight="1">
      <c r="H221" s="132"/>
    </row>
    <row r="222" ht="15.75" customHeight="1">
      <c r="H222" s="132"/>
    </row>
    <row r="223" ht="15.75" customHeight="1">
      <c r="H223" s="132"/>
    </row>
    <row r="224" ht="15.75" customHeight="1">
      <c r="H224" s="132"/>
    </row>
    <row r="225" ht="15.75" customHeight="1">
      <c r="H225" s="132"/>
    </row>
    <row r="226" ht="15.75" customHeight="1">
      <c r="H226" s="132"/>
    </row>
    <row r="227" ht="15.75" customHeight="1">
      <c r="H227" s="132"/>
    </row>
    <row r="228" ht="15.75" customHeight="1">
      <c r="H228" s="132"/>
    </row>
    <row r="229" ht="15.75" customHeight="1">
      <c r="H229" s="132"/>
    </row>
    <row r="230" ht="15.75" customHeight="1">
      <c r="H230" s="132"/>
    </row>
    <row r="231" ht="15.75" customHeight="1">
      <c r="H231" s="132"/>
    </row>
    <row r="232" ht="15.75" customHeight="1">
      <c r="H232" s="132"/>
    </row>
    <row r="233" ht="15.75" customHeight="1">
      <c r="H233" s="132"/>
    </row>
    <row r="234" ht="15.75" customHeight="1">
      <c r="H234" s="132"/>
    </row>
    <row r="235" ht="15.75" customHeight="1">
      <c r="H235" s="132"/>
    </row>
    <row r="236" ht="15.75" customHeight="1">
      <c r="H236" s="132"/>
    </row>
    <row r="237" ht="15.75" customHeight="1">
      <c r="H237" s="132"/>
    </row>
    <row r="238" ht="15.75" customHeight="1">
      <c r="H238" s="132"/>
    </row>
    <row r="239" ht="15.75" customHeight="1">
      <c r="H239" s="132"/>
    </row>
    <row r="240" ht="15.75" customHeight="1">
      <c r="H240" s="132"/>
    </row>
    <row r="241" ht="15.75" customHeight="1">
      <c r="H241" s="132"/>
    </row>
    <row r="242" ht="15.75" customHeight="1">
      <c r="H242" s="132"/>
    </row>
    <row r="243" ht="15.75" customHeight="1">
      <c r="H243" s="132"/>
    </row>
    <row r="244" ht="15.75" customHeight="1">
      <c r="H244" s="132"/>
    </row>
    <row r="245" ht="15.75" customHeight="1">
      <c r="H245" s="132"/>
    </row>
    <row r="246" ht="15.75" customHeight="1">
      <c r="H246" s="132"/>
    </row>
    <row r="247" ht="15.75" customHeight="1">
      <c r="H247" s="132"/>
    </row>
    <row r="248" ht="15.75" customHeight="1">
      <c r="H248" s="132"/>
    </row>
    <row r="249" ht="15.75" customHeight="1">
      <c r="H249" s="132"/>
    </row>
    <row r="250" ht="15.75" customHeight="1">
      <c r="H250" s="132"/>
    </row>
    <row r="251" ht="15.75" customHeight="1">
      <c r="H251" s="132"/>
    </row>
    <row r="252" ht="15.75" customHeight="1">
      <c r="H252" s="132"/>
    </row>
    <row r="253" ht="15.75" customHeight="1">
      <c r="H253" s="132"/>
    </row>
    <row r="254" ht="15.75" customHeight="1">
      <c r="H254" s="132"/>
    </row>
    <row r="255" ht="15.75" customHeight="1">
      <c r="H255" s="132"/>
    </row>
    <row r="256" ht="15.75" customHeight="1">
      <c r="H256" s="132"/>
    </row>
    <row r="257" ht="15.75" customHeight="1">
      <c r="H257" s="132"/>
    </row>
    <row r="258" ht="15.75" customHeight="1">
      <c r="H258" s="132"/>
    </row>
    <row r="259" ht="15.75" customHeight="1">
      <c r="H259" s="132"/>
    </row>
    <row r="260" ht="15.75" customHeight="1">
      <c r="H260" s="132"/>
    </row>
    <row r="261" ht="15.75" customHeight="1">
      <c r="H261" s="132"/>
    </row>
    <row r="262" ht="15.75" customHeight="1">
      <c r="H262" s="132"/>
    </row>
    <row r="263" ht="15.75" customHeight="1">
      <c r="H263" s="132"/>
    </row>
    <row r="264" ht="15.75" customHeight="1">
      <c r="H264" s="132"/>
    </row>
    <row r="265" ht="15.75" customHeight="1">
      <c r="H265" s="132"/>
    </row>
    <row r="266" ht="15.75" customHeight="1">
      <c r="H266" s="132"/>
    </row>
    <row r="267" ht="15.75" customHeight="1">
      <c r="H267" s="132"/>
    </row>
    <row r="268" ht="15.75" customHeight="1">
      <c r="H268" s="132"/>
    </row>
    <row r="269" ht="15.75" customHeight="1">
      <c r="H269" s="132"/>
    </row>
    <row r="270" ht="15.75" customHeight="1">
      <c r="H270" s="132"/>
    </row>
    <row r="271" ht="15.75" customHeight="1">
      <c r="H271" s="132"/>
    </row>
    <row r="272" ht="15.75" customHeight="1">
      <c r="H272" s="132"/>
    </row>
    <row r="273" ht="15.75" customHeight="1">
      <c r="H273" s="132"/>
    </row>
    <row r="274" ht="15.75" customHeight="1">
      <c r="H274" s="132"/>
    </row>
    <row r="275" ht="15.75" customHeight="1">
      <c r="H275" s="132"/>
    </row>
    <row r="276" ht="15.75" customHeight="1">
      <c r="H276" s="132"/>
    </row>
    <row r="277" ht="15.75" customHeight="1">
      <c r="H277" s="132"/>
    </row>
    <row r="278" ht="15.75" customHeight="1">
      <c r="H278" s="132"/>
    </row>
    <row r="279" ht="15.75" customHeight="1">
      <c r="H279" s="132"/>
    </row>
    <row r="280" ht="15.75" customHeight="1">
      <c r="H280" s="132"/>
    </row>
    <row r="281" ht="15.75" customHeight="1">
      <c r="H281" s="132"/>
    </row>
    <row r="282" ht="15.75" customHeight="1">
      <c r="H282" s="132"/>
    </row>
    <row r="283" ht="15.75" customHeight="1">
      <c r="H283" s="132"/>
    </row>
    <row r="284" ht="15.75" customHeight="1">
      <c r="H284" s="132"/>
    </row>
    <row r="285" ht="15.75" customHeight="1">
      <c r="H285" s="132"/>
    </row>
    <row r="286" ht="15.75" customHeight="1">
      <c r="H286" s="132"/>
    </row>
    <row r="287" ht="15.75" customHeight="1">
      <c r="H287" s="132"/>
    </row>
    <row r="288" ht="15.75" customHeight="1">
      <c r="H288" s="132"/>
    </row>
    <row r="289" ht="15.75" customHeight="1">
      <c r="H289" s="132"/>
    </row>
    <row r="290" ht="15.75" customHeight="1">
      <c r="H290" s="132"/>
    </row>
    <row r="291" ht="15.75" customHeight="1">
      <c r="H291" s="132"/>
    </row>
    <row r="292" ht="15.75" customHeight="1">
      <c r="H292" s="132"/>
    </row>
    <row r="293" ht="15.75" customHeight="1">
      <c r="H293" s="132"/>
    </row>
    <row r="294" ht="15.75" customHeight="1">
      <c r="H294" s="132"/>
    </row>
    <row r="295" ht="15.75" customHeight="1">
      <c r="H295" s="132"/>
    </row>
    <row r="296" ht="15.75" customHeight="1">
      <c r="H296" s="132"/>
    </row>
    <row r="297" ht="15.75" customHeight="1">
      <c r="H297" s="132"/>
    </row>
    <row r="298" ht="15.75" customHeight="1">
      <c r="H298" s="132"/>
    </row>
    <row r="299" ht="15.75" customHeight="1">
      <c r="H299" s="132"/>
    </row>
    <row r="300" ht="15.75" customHeight="1">
      <c r="H300" s="132"/>
    </row>
    <row r="301" ht="15.75" customHeight="1">
      <c r="H301" s="132"/>
    </row>
    <row r="302" ht="15.75" customHeight="1">
      <c r="H302" s="132"/>
    </row>
    <row r="303" ht="15.75" customHeight="1">
      <c r="H303" s="132"/>
    </row>
    <row r="304" ht="15.75" customHeight="1">
      <c r="H304" s="132"/>
    </row>
    <row r="305" ht="15.75" customHeight="1">
      <c r="H305" s="132"/>
    </row>
    <row r="306" ht="15.75" customHeight="1">
      <c r="H306" s="132"/>
    </row>
    <row r="307" ht="15.75" customHeight="1">
      <c r="H307" s="132"/>
    </row>
    <row r="308" ht="15.75" customHeight="1">
      <c r="H308" s="132"/>
    </row>
    <row r="309" ht="15.75" customHeight="1">
      <c r="H309" s="132"/>
    </row>
    <row r="310" ht="15.75" customHeight="1">
      <c r="H310" s="132"/>
    </row>
    <row r="311" ht="15.75" customHeight="1">
      <c r="H311" s="132"/>
    </row>
    <row r="312" ht="15.75" customHeight="1">
      <c r="H312" s="132"/>
    </row>
    <row r="313" ht="15.75" customHeight="1">
      <c r="H313" s="132"/>
    </row>
    <row r="314" ht="15.75" customHeight="1">
      <c r="H314" s="132"/>
    </row>
    <row r="315" ht="15.75" customHeight="1">
      <c r="H315" s="132"/>
    </row>
    <row r="316" ht="15.75" customHeight="1">
      <c r="H316" s="132"/>
    </row>
    <row r="317" ht="15.75" customHeight="1">
      <c r="H317" s="132"/>
    </row>
    <row r="318" ht="15.75" customHeight="1">
      <c r="H318" s="132"/>
    </row>
    <row r="319" ht="15.75" customHeight="1">
      <c r="H319" s="132"/>
    </row>
    <row r="320" ht="15.75" customHeight="1">
      <c r="H320" s="132"/>
    </row>
    <row r="321" ht="15.75" customHeight="1">
      <c r="H321" s="132"/>
    </row>
    <row r="322" ht="15.75" customHeight="1">
      <c r="H322" s="132"/>
    </row>
    <row r="323" ht="15.75" customHeight="1">
      <c r="H323" s="132"/>
    </row>
    <row r="324" ht="15.75" customHeight="1">
      <c r="H324" s="132"/>
    </row>
    <row r="325" ht="15.75" customHeight="1">
      <c r="H325" s="132"/>
    </row>
    <row r="326" ht="15.75" customHeight="1">
      <c r="H326" s="132"/>
    </row>
    <row r="327" ht="15.75" customHeight="1">
      <c r="H327" s="132"/>
    </row>
    <row r="328" ht="15.75" customHeight="1">
      <c r="H328" s="132"/>
    </row>
    <row r="329" ht="15.75" customHeight="1">
      <c r="H329" s="132"/>
    </row>
    <row r="330" ht="15.75" customHeight="1">
      <c r="H330" s="132"/>
    </row>
    <row r="331" ht="15.75" customHeight="1">
      <c r="H331" s="132"/>
    </row>
    <row r="332" ht="15.75" customHeight="1">
      <c r="H332" s="132"/>
    </row>
    <row r="333" ht="15.75" customHeight="1">
      <c r="H333" s="132"/>
    </row>
    <row r="334" ht="15.75" customHeight="1">
      <c r="H334" s="132"/>
    </row>
    <row r="335" ht="15.75" customHeight="1">
      <c r="H335" s="132"/>
    </row>
    <row r="336" ht="15.75" customHeight="1">
      <c r="H336" s="132"/>
    </row>
    <row r="337" ht="15.75" customHeight="1">
      <c r="H337" s="132"/>
    </row>
    <row r="338" ht="15.75" customHeight="1">
      <c r="H338" s="132"/>
    </row>
    <row r="339" ht="15.75" customHeight="1">
      <c r="H339" s="132"/>
    </row>
    <row r="340" ht="15.75" customHeight="1">
      <c r="H340" s="132"/>
    </row>
    <row r="341" ht="15.75" customHeight="1">
      <c r="H341" s="132"/>
    </row>
    <row r="342" ht="15.75" customHeight="1">
      <c r="H342" s="132"/>
    </row>
    <row r="343" ht="15.75" customHeight="1">
      <c r="H343" s="132"/>
    </row>
    <row r="344" ht="15.75" customHeight="1">
      <c r="H344" s="132"/>
    </row>
    <row r="345" ht="15.75" customHeight="1">
      <c r="H345" s="132"/>
    </row>
    <row r="346" ht="15.75" customHeight="1">
      <c r="H346" s="132"/>
    </row>
    <row r="347" ht="15.75" customHeight="1">
      <c r="H347" s="132"/>
    </row>
    <row r="348" ht="15.75" customHeight="1">
      <c r="H348" s="132"/>
    </row>
    <row r="349" ht="15.75" customHeight="1">
      <c r="H349" s="132"/>
    </row>
    <row r="350" ht="15.75" customHeight="1">
      <c r="H350" s="132"/>
    </row>
    <row r="351" ht="15.75" customHeight="1">
      <c r="H351" s="132"/>
    </row>
    <row r="352" ht="15.75" customHeight="1">
      <c r="H352" s="132"/>
    </row>
    <row r="353" ht="15.75" customHeight="1">
      <c r="H353" s="132"/>
    </row>
    <row r="354" ht="15.75" customHeight="1">
      <c r="H354" s="132"/>
    </row>
    <row r="355" ht="15.75" customHeight="1">
      <c r="H355" s="132"/>
    </row>
    <row r="356" ht="15.75" customHeight="1">
      <c r="H356" s="132"/>
    </row>
    <row r="357" ht="15.75" customHeight="1">
      <c r="H357" s="132"/>
    </row>
    <row r="358" ht="15.75" customHeight="1">
      <c r="H358" s="132"/>
    </row>
    <row r="359" ht="15.75" customHeight="1">
      <c r="H359" s="132"/>
    </row>
    <row r="360" ht="15.75" customHeight="1">
      <c r="H360" s="132"/>
    </row>
    <row r="361" ht="15.75" customHeight="1">
      <c r="H361" s="132"/>
    </row>
    <row r="362" ht="15.75" customHeight="1">
      <c r="H362" s="132"/>
    </row>
    <row r="363" ht="15.75" customHeight="1">
      <c r="H363" s="132"/>
    </row>
    <row r="364" ht="15.75" customHeight="1">
      <c r="H364" s="132"/>
    </row>
    <row r="365" ht="15.75" customHeight="1">
      <c r="H365" s="132"/>
    </row>
    <row r="366" ht="15.75" customHeight="1">
      <c r="H366" s="132"/>
    </row>
    <row r="367" ht="15.75" customHeight="1">
      <c r="H367" s="132"/>
    </row>
    <row r="368" ht="15.75" customHeight="1">
      <c r="H368" s="132"/>
    </row>
    <row r="369" ht="15.75" customHeight="1">
      <c r="H369" s="132"/>
    </row>
    <row r="370" ht="15.75" customHeight="1">
      <c r="H370" s="132"/>
    </row>
    <row r="371" ht="15.75" customHeight="1">
      <c r="H371" s="132"/>
    </row>
    <row r="372" ht="15.75" customHeight="1">
      <c r="H372" s="132"/>
    </row>
    <row r="373" ht="15.75" customHeight="1">
      <c r="H373" s="132"/>
    </row>
    <row r="374" ht="15.75" customHeight="1">
      <c r="H374" s="132"/>
    </row>
    <row r="375" ht="15.75" customHeight="1">
      <c r="H375" s="132"/>
    </row>
    <row r="376" ht="15.75" customHeight="1">
      <c r="H376" s="132"/>
    </row>
    <row r="377" ht="15.75" customHeight="1">
      <c r="H377" s="132"/>
    </row>
    <row r="378" ht="15.75" customHeight="1">
      <c r="H378" s="132"/>
    </row>
    <row r="379" ht="15.75" customHeight="1">
      <c r="H379" s="132"/>
    </row>
    <row r="380" ht="15.75" customHeight="1">
      <c r="H380" s="132"/>
    </row>
    <row r="381" ht="15.75" customHeight="1">
      <c r="H381" s="132"/>
    </row>
    <row r="382" ht="15.75" customHeight="1">
      <c r="H382" s="132"/>
    </row>
    <row r="383" ht="15.75" customHeight="1">
      <c r="H383" s="132"/>
    </row>
    <row r="384" ht="15.75" customHeight="1">
      <c r="H384" s="132"/>
    </row>
    <row r="385" ht="15.75" customHeight="1">
      <c r="H385" s="132"/>
    </row>
    <row r="386" ht="15.75" customHeight="1">
      <c r="H386" s="132"/>
    </row>
    <row r="387" ht="15.75" customHeight="1">
      <c r="H387" s="132"/>
    </row>
    <row r="388" ht="15.75" customHeight="1">
      <c r="H388" s="132"/>
    </row>
    <row r="389" ht="15.75" customHeight="1">
      <c r="H389" s="132"/>
    </row>
    <row r="390" ht="15.75" customHeight="1">
      <c r="H390" s="132"/>
    </row>
    <row r="391" ht="15.75" customHeight="1">
      <c r="H391" s="132"/>
    </row>
    <row r="392" ht="15.75" customHeight="1">
      <c r="H392" s="132"/>
    </row>
    <row r="393" ht="15.75" customHeight="1">
      <c r="H393" s="132"/>
    </row>
    <row r="394" ht="15.75" customHeight="1">
      <c r="H394" s="132"/>
    </row>
    <row r="395" ht="15.75" customHeight="1">
      <c r="H395" s="132"/>
    </row>
    <row r="396" ht="15.75" customHeight="1">
      <c r="H396" s="132"/>
    </row>
    <row r="397" ht="15.75" customHeight="1">
      <c r="H397" s="132"/>
    </row>
    <row r="398" ht="15.75" customHeight="1">
      <c r="H398" s="132"/>
    </row>
    <row r="399" ht="15.75" customHeight="1">
      <c r="H399" s="132"/>
    </row>
    <row r="400" ht="15.75" customHeight="1">
      <c r="H400" s="132"/>
    </row>
    <row r="401" ht="15.75" customHeight="1">
      <c r="H401" s="132"/>
    </row>
    <row r="402" ht="15.75" customHeight="1">
      <c r="H402" s="132"/>
    </row>
    <row r="403" ht="15.75" customHeight="1">
      <c r="H403" s="132"/>
    </row>
    <row r="404" ht="15.75" customHeight="1">
      <c r="H404" s="132"/>
    </row>
    <row r="405" ht="15.75" customHeight="1">
      <c r="H405" s="132"/>
    </row>
    <row r="406" ht="15.75" customHeight="1">
      <c r="H406" s="132"/>
    </row>
    <row r="407" ht="15.75" customHeight="1">
      <c r="H407" s="132"/>
    </row>
    <row r="408" ht="15.75" customHeight="1">
      <c r="H408" s="132"/>
    </row>
    <row r="409" ht="15.75" customHeight="1">
      <c r="H409" s="132"/>
    </row>
    <row r="410" ht="15.75" customHeight="1">
      <c r="H410" s="132"/>
    </row>
    <row r="411" ht="15.75" customHeight="1">
      <c r="H411" s="132"/>
    </row>
    <row r="412" ht="15.75" customHeight="1">
      <c r="H412" s="132"/>
    </row>
    <row r="413" ht="15.75" customHeight="1">
      <c r="H413" s="132"/>
    </row>
    <row r="414" ht="15.75" customHeight="1">
      <c r="H414" s="132"/>
    </row>
    <row r="415" ht="15.75" customHeight="1">
      <c r="H415" s="132"/>
    </row>
    <row r="416" ht="15.75" customHeight="1">
      <c r="H416" s="132"/>
    </row>
    <row r="417" ht="15.75" customHeight="1">
      <c r="H417" s="132"/>
    </row>
    <row r="418" ht="15.75" customHeight="1">
      <c r="H418" s="132"/>
    </row>
    <row r="419" ht="15.75" customHeight="1">
      <c r="H419" s="132"/>
    </row>
    <row r="420" ht="15.75" customHeight="1">
      <c r="H420" s="132"/>
    </row>
    <row r="421" ht="15.75" customHeight="1">
      <c r="H421" s="132"/>
    </row>
    <row r="422" ht="15.75" customHeight="1">
      <c r="H422" s="132"/>
    </row>
    <row r="423" ht="15.75" customHeight="1">
      <c r="H423" s="132"/>
    </row>
    <row r="424" ht="15.75" customHeight="1">
      <c r="H424" s="132"/>
    </row>
    <row r="425" ht="15.75" customHeight="1">
      <c r="H425" s="132"/>
    </row>
    <row r="426" ht="15.75" customHeight="1">
      <c r="H426" s="132"/>
    </row>
    <row r="427" ht="15.75" customHeight="1">
      <c r="H427" s="132"/>
    </row>
    <row r="428" ht="15.75" customHeight="1">
      <c r="H428" s="132"/>
    </row>
    <row r="429" ht="15.75" customHeight="1">
      <c r="H429" s="132"/>
    </row>
    <row r="430" ht="15.75" customHeight="1">
      <c r="H430" s="132"/>
    </row>
    <row r="431" ht="15.75" customHeight="1">
      <c r="H431" s="132"/>
    </row>
    <row r="432" ht="15.75" customHeight="1">
      <c r="H432" s="132"/>
    </row>
    <row r="433" ht="15.75" customHeight="1">
      <c r="H433" s="132"/>
    </row>
    <row r="434" ht="15.75" customHeight="1">
      <c r="H434" s="132"/>
    </row>
    <row r="435" ht="15.75" customHeight="1">
      <c r="H435" s="132"/>
    </row>
    <row r="436" ht="15.75" customHeight="1">
      <c r="H436" s="132"/>
    </row>
    <row r="437" ht="15.75" customHeight="1">
      <c r="H437" s="132"/>
    </row>
    <row r="438" ht="15.75" customHeight="1">
      <c r="H438" s="132"/>
    </row>
    <row r="439" ht="15.75" customHeight="1">
      <c r="H439" s="132"/>
    </row>
    <row r="440" ht="15.75" customHeight="1">
      <c r="H440" s="132"/>
    </row>
    <row r="441" ht="15.75" customHeight="1">
      <c r="H441" s="132"/>
    </row>
    <row r="442" ht="15.75" customHeight="1">
      <c r="H442" s="132"/>
    </row>
    <row r="443" ht="15.75" customHeight="1">
      <c r="H443" s="132"/>
    </row>
    <row r="444" ht="15.75" customHeight="1">
      <c r="H444" s="132"/>
    </row>
    <row r="445" ht="15.75" customHeight="1">
      <c r="H445" s="132"/>
    </row>
    <row r="446" ht="15.75" customHeight="1">
      <c r="H446" s="132"/>
    </row>
    <row r="447" ht="15.75" customHeight="1">
      <c r="H447" s="132"/>
    </row>
    <row r="448" ht="15.75" customHeight="1">
      <c r="H448" s="132"/>
    </row>
    <row r="449" ht="15.75" customHeight="1">
      <c r="H449" s="132"/>
    </row>
    <row r="450" ht="15.75" customHeight="1">
      <c r="H450" s="132"/>
    </row>
    <row r="451" ht="15.75" customHeight="1">
      <c r="H451" s="132"/>
    </row>
    <row r="452" ht="15.75" customHeight="1">
      <c r="H452" s="132"/>
    </row>
    <row r="453" ht="15.75" customHeight="1">
      <c r="H453" s="132"/>
    </row>
    <row r="454" ht="15.75" customHeight="1">
      <c r="H454" s="132"/>
    </row>
    <row r="455" ht="15.75" customHeight="1">
      <c r="H455" s="132"/>
    </row>
    <row r="456" ht="15.75" customHeight="1">
      <c r="H456" s="132"/>
    </row>
    <row r="457" ht="15.75" customHeight="1">
      <c r="H457" s="132"/>
    </row>
    <row r="458" ht="15.75" customHeight="1">
      <c r="H458" s="132"/>
    </row>
    <row r="459" ht="15.75" customHeight="1">
      <c r="H459" s="132"/>
    </row>
    <row r="460" ht="15.75" customHeight="1">
      <c r="H460" s="132"/>
    </row>
    <row r="461" ht="15.75" customHeight="1">
      <c r="H461" s="132"/>
    </row>
    <row r="462" ht="15.75" customHeight="1">
      <c r="H462" s="132"/>
    </row>
    <row r="463" ht="15.75" customHeight="1">
      <c r="H463" s="132"/>
    </row>
    <row r="464" ht="15.75" customHeight="1">
      <c r="H464" s="132"/>
    </row>
    <row r="465" ht="15.75" customHeight="1">
      <c r="H465" s="132"/>
    </row>
    <row r="466" ht="15.75" customHeight="1">
      <c r="H466" s="132"/>
    </row>
    <row r="467" ht="15.75" customHeight="1">
      <c r="H467" s="132"/>
    </row>
    <row r="468" ht="15.75" customHeight="1">
      <c r="H468" s="132"/>
    </row>
    <row r="469" ht="15.75" customHeight="1">
      <c r="H469" s="132"/>
    </row>
    <row r="470" ht="15.75" customHeight="1">
      <c r="H470" s="132"/>
    </row>
    <row r="471" ht="15.75" customHeight="1">
      <c r="H471" s="132"/>
    </row>
    <row r="472" ht="15.75" customHeight="1">
      <c r="H472" s="132"/>
    </row>
    <row r="473" ht="15.75" customHeight="1">
      <c r="H473" s="132"/>
    </row>
    <row r="474" ht="15.75" customHeight="1">
      <c r="H474" s="132"/>
    </row>
    <row r="475" ht="15.75" customHeight="1">
      <c r="H475" s="132"/>
    </row>
    <row r="476" ht="15.75" customHeight="1">
      <c r="H476" s="132"/>
    </row>
    <row r="477" ht="15.75" customHeight="1">
      <c r="H477" s="132"/>
    </row>
    <row r="478" ht="15.75" customHeight="1">
      <c r="H478" s="132"/>
    </row>
    <row r="479" ht="15.75" customHeight="1">
      <c r="H479" s="132"/>
    </row>
    <row r="480" ht="15.75" customHeight="1">
      <c r="H480" s="132"/>
    </row>
    <row r="481" ht="15.75" customHeight="1">
      <c r="H481" s="132"/>
    </row>
    <row r="482" ht="15.75" customHeight="1">
      <c r="H482" s="132"/>
    </row>
    <row r="483" ht="15.75" customHeight="1">
      <c r="H483" s="132"/>
    </row>
    <row r="484" ht="15.75" customHeight="1">
      <c r="H484" s="132"/>
    </row>
    <row r="485" ht="15.75" customHeight="1">
      <c r="H485" s="132"/>
    </row>
    <row r="486" ht="15.75" customHeight="1">
      <c r="H486" s="132"/>
    </row>
    <row r="487" ht="15.75" customHeight="1">
      <c r="H487" s="132"/>
    </row>
    <row r="488" ht="15.75" customHeight="1">
      <c r="H488" s="132"/>
    </row>
    <row r="489" ht="15.75" customHeight="1">
      <c r="H489" s="132"/>
    </row>
    <row r="490" ht="15.75" customHeight="1">
      <c r="H490" s="132"/>
    </row>
    <row r="491" ht="15.75" customHeight="1">
      <c r="H491" s="132"/>
    </row>
    <row r="492" ht="15.75" customHeight="1">
      <c r="H492" s="132"/>
    </row>
    <row r="493" ht="15.75" customHeight="1">
      <c r="H493" s="132"/>
    </row>
    <row r="494" ht="15.75" customHeight="1">
      <c r="H494" s="132"/>
    </row>
    <row r="495" ht="15.75" customHeight="1">
      <c r="H495" s="132"/>
    </row>
    <row r="496" ht="15.75" customHeight="1">
      <c r="H496" s="132"/>
    </row>
    <row r="497" ht="15.75" customHeight="1">
      <c r="H497" s="132"/>
    </row>
    <row r="498" ht="15.75" customHeight="1">
      <c r="H498" s="132"/>
    </row>
    <row r="499" ht="15.75" customHeight="1">
      <c r="H499" s="132"/>
    </row>
    <row r="500" ht="15.75" customHeight="1">
      <c r="H500" s="132"/>
    </row>
    <row r="501" ht="15.75" customHeight="1">
      <c r="H501" s="132"/>
    </row>
    <row r="502" ht="15.75" customHeight="1">
      <c r="H502" s="132"/>
    </row>
    <row r="503" ht="15.75" customHeight="1">
      <c r="H503" s="132"/>
    </row>
    <row r="504" ht="15.75" customHeight="1">
      <c r="H504" s="132"/>
    </row>
    <row r="505" ht="15.75" customHeight="1">
      <c r="H505" s="132"/>
    </row>
    <row r="506" ht="15.75" customHeight="1">
      <c r="H506" s="132"/>
    </row>
    <row r="507" ht="15.75" customHeight="1">
      <c r="H507" s="132"/>
    </row>
    <row r="508" ht="15.75" customHeight="1">
      <c r="H508" s="132"/>
    </row>
    <row r="509" ht="15.75" customHeight="1">
      <c r="H509" s="132"/>
    </row>
    <row r="510" ht="15.75" customHeight="1">
      <c r="H510" s="132"/>
    </row>
    <row r="511" ht="15.75" customHeight="1">
      <c r="H511" s="132"/>
    </row>
    <row r="512" ht="15.75" customHeight="1">
      <c r="H512" s="132"/>
    </row>
    <row r="513" ht="15.75" customHeight="1">
      <c r="H513" s="132"/>
    </row>
    <row r="514" ht="15.75" customHeight="1">
      <c r="H514" s="132"/>
    </row>
    <row r="515" ht="15.75" customHeight="1">
      <c r="H515" s="132"/>
    </row>
    <row r="516" ht="15.75" customHeight="1">
      <c r="H516" s="132"/>
    </row>
    <row r="517" ht="15.75" customHeight="1">
      <c r="H517" s="132"/>
    </row>
    <row r="518" ht="15.75" customHeight="1">
      <c r="H518" s="132"/>
    </row>
    <row r="519" ht="15.75" customHeight="1">
      <c r="H519" s="132"/>
    </row>
    <row r="520" ht="15.75" customHeight="1">
      <c r="H520" s="132"/>
    </row>
    <row r="521" ht="15.75" customHeight="1">
      <c r="H521" s="132"/>
    </row>
    <row r="522" ht="15.75" customHeight="1">
      <c r="H522" s="132"/>
    </row>
    <row r="523" ht="15.75" customHeight="1">
      <c r="H523" s="132"/>
    </row>
    <row r="524" ht="15.75" customHeight="1">
      <c r="H524" s="132"/>
    </row>
    <row r="525" ht="15.75" customHeight="1">
      <c r="H525" s="132"/>
    </row>
    <row r="526" ht="15.75" customHeight="1">
      <c r="H526" s="132"/>
    </row>
    <row r="527" ht="15.75" customHeight="1">
      <c r="H527" s="132"/>
    </row>
    <row r="528" ht="15.75" customHeight="1">
      <c r="H528" s="132"/>
    </row>
    <row r="529" ht="15.75" customHeight="1">
      <c r="H529" s="132"/>
    </row>
    <row r="530" ht="15.75" customHeight="1">
      <c r="H530" s="132"/>
    </row>
    <row r="531" ht="15.75" customHeight="1">
      <c r="H531" s="132"/>
    </row>
    <row r="532" ht="15.75" customHeight="1">
      <c r="H532" s="132"/>
    </row>
    <row r="533" ht="15.75" customHeight="1">
      <c r="H533" s="132"/>
    </row>
    <row r="534" ht="15.75" customHeight="1">
      <c r="H534" s="132"/>
    </row>
    <row r="535" ht="15.75" customHeight="1">
      <c r="H535" s="132"/>
    </row>
    <row r="536" ht="15.75" customHeight="1">
      <c r="H536" s="132"/>
    </row>
    <row r="537" ht="15.75" customHeight="1">
      <c r="H537" s="132"/>
    </row>
    <row r="538" ht="15.75" customHeight="1">
      <c r="H538" s="132"/>
    </row>
    <row r="539" ht="15.75" customHeight="1">
      <c r="H539" s="132"/>
    </row>
    <row r="540" ht="15.75" customHeight="1">
      <c r="H540" s="132"/>
    </row>
    <row r="541" ht="15.75" customHeight="1">
      <c r="H541" s="132"/>
    </row>
    <row r="542" ht="15.75" customHeight="1">
      <c r="H542" s="132"/>
    </row>
    <row r="543" ht="15.75" customHeight="1">
      <c r="H543" s="132"/>
    </row>
    <row r="544" ht="15.75" customHeight="1">
      <c r="H544" s="132"/>
    </row>
    <row r="545" ht="15.75" customHeight="1">
      <c r="H545" s="132"/>
    </row>
    <row r="546" ht="15.75" customHeight="1">
      <c r="H546" s="132"/>
    </row>
    <row r="547" ht="15.75" customHeight="1">
      <c r="H547" s="132"/>
    </row>
    <row r="548" ht="15.75" customHeight="1">
      <c r="H548" s="132"/>
    </row>
    <row r="549" ht="15.75" customHeight="1">
      <c r="H549" s="132"/>
    </row>
    <row r="550" ht="15.75" customHeight="1">
      <c r="H550" s="132"/>
    </row>
    <row r="551" ht="15.75" customHeight="1">
      <c r="H551" s="132"/>
    </row>
    <row r="552" ht="15.75" customHeight="1">
      <c r="H552" s="132"/>
    </row>
    <row r="553" ht="15.75" customHeight="1">
      <c r="H553" s="132"/>
    </row>
    <row r="554" ht="15.75" customHeight="1">
      <c r="H554" s="132"/>
    </row>
    <row r="555" ht="15.75" customHeight="1">
      <c r="H555" s="132"/>
    </row>
    <row r="556" ht="15.75" customHeight="1">
      <c r="H556" s="132"/>
    </row>
    <row r="557" ht="15.75" customHeight="1">
      <c r="H557" s="132"/>
    </row>
    <row r="558" ht="15.75" customHeight="1">
      <c r="H558" s="132"/>
    </row>
    <row r="559" ht="15.75" customHeight="1">
      <c r="H559" s="132"/>
    </row>
    <row r="560" ht="15.75" customHeight="1">
      <c r="H560" s="132"/>
    </row>
    <row r="561" ht="15.75" customHeight="1">
      <c r="H561" s="132"/>
    </row>
    <row r="562" ht="15.75" customHeight="1">
      <c r="H562" s="132"/>
    </row>
    <row r="563" ht="15.75" customHeight="1">
      <c r="H563" s="132"/>
    </row>
    <row r="564" ht="15.75" customHeight="1">
      <c r="H564" s="132"/>
    </row>
    <row r="565" ht="15.75" customHeight="1">
      <c r="H565" s="132"/>
    </row>
    <row r="566" ht="15.75" customHeight="1">
      <c r="H566" s="132"/>
    </row>
    <row r="567" ht="15.75" customHeight="1">
      <c r="H567" s="132"/>
    </row>
    <row r="568" ht="15.75" customHeight="1">
      <c r="H568" s="132"/>
    </row>
    <row r="569" ht="15.75" customHeight="1">
      <c r="H569" s="132"/>
    </row>
    <row r="570" ht="15.75" customHeight="1">
      <c r="H570" s="132"/>
    </row>
    <row r="571" ht="15.75" customHeight="1">
      <c r="H571" s="132"/>
    </row>
    <row r="572" ht="15.75" customHeight="1">
      <c r="H572" s="132"/>
    </row>
    <row r="573" ht="15.75" customHeight="1">
      <c r="H573" s="132"/>
    </row>
    <row r="574" ht="15.75" customHeight="1">
      <c r="H574" s="132"/>
    </row>
    <row r="575" ht="15.75" customHeight="1">
      <c r="H575" s="132"/>
    </row>
    <row r="576" ht="15.75" customHeight="1">
      <c r="H576" s="132"/>
    </row>
    <row r="577" ht="15.75" customHeight="1">
      <c r="H577" s="132"/>
    </row>
    <row r="578" ht="15.75" customHeight="1">
      <c r="H578" s="132"/>
    </row>
    <row r="579" ht="15.75" customHeight="1">
      <c r="H579" s="132"/>
    </row>
    <row r="580" ht="15.75" customHeight="1">
      <c r="H580" s="132"/>
    </row>
    <row r="581" ht="15.75" customHeight="1">
      <c r="H581" s="132"/>
    </row>
    <row r="582" ht="15.75" customHeight="1">
      <c r="H582" s="132"/>
    </row>
    <row r="583" ht="15.75" customHeight="1">
      <c r="H583" s="132"/>
    </row>
    <row r="584" ht="15.75" customHeight="1">
      <c r="H584" s="132"/>
    </row>
    <row r="585" ht="15.75" customHeight="1">
      <c r="H585" s="132"/>
    </row>
    <row r="586" ht="15.75" customHeight="1">
      <c r="H586" s="132"/>
    </row>
    <row r="587" ht="15.75" customHeight="1">
      <c r="H587" s="132"/>
    </row>
    <row r="588" ht="15.75" customHeight="1">
      <c r="H588" s="132"/>
    </row>
    <row r="589" ht="15.75" customHeight="1">
      <c r="H589" s="132"/>
    </row>
    <row r="590" ht="15.75" customHeight="1">
      <c r="H590" s="132"/>
    </row>
    <row r="591" ht="15.75" customHeight="1">
      <c r="H591" s="132"/>
    </row>
    <row r="592" ht="15.75" customHeight="1">
      <c r="H592" s="132"/>
    </row>
    <row r="593" ht="15.75" customHeight="1">
      <c r="H593" s="132"/>
    </row>
    <row r="594" ht="15.75" customHeight="1">
      <c r="H594" s="132"/>
    </row>
    <row r="595" ht="15.75" customHeight="1">
      <c r="H595" s="132"/>
    </row>
    <row r="596" ht="15.75" customHeight="1">
      <c r="H596" s="132"/>
    </row>
    <row r="597" ht="15.75" customHeight="1">
      <c r="H597" s="132"/>
    </row>
    <row r="598" ht="15.75" customHeight="1">
      <c r="H598" s="132"/>
    </row>
    <row r="599" ht="15.75" customHeight="1">
      <c r="H599" s="132"/>
    </row>
    <row r="600" ht="15.75" customHeight="1">
      <c r="H600" s="132"/>
    </row>
    <row r="601" ht="15.75" customHeight="1">
      <c r="H601" s="132"/>
    </row>
    <row r="602" ht="15.75" customHeight="1">
      <c r="H602" s="132"/>
    </row>
    <row r="603" ht="15.75" customHeight="1">
      <c r="H603" s="132"/>
    </row>
    <row r="604" ht="15.75" customHeight="1">
      <c r="H604" s="132"/>
    </row>
    <row r="605" ht="15.75" customHeight="1">
      <c r="H605" s="132"/>
    </row>
    <row r="606" ht="15.75" customHeight="1">
      <c r="H606" s="132"/>
    </row>
    <row r="607" ht="15.75" customHeight="1">
      <c r="H607" s="132"/>
    </row>
    <row r="608" ht="15.75" customHeight="1">
      <c r="H608" s="132"/>
    </row>
    <row r="609" ht="15.75" customHeight="1">
      <c r="H609" s="132"/>
    </row>
    <row r="610" ht="15.75" customHeight="1">
      <c r="H610" s="132"/>
    </row>
    <row r="611" ht="15.75" customHeight="1">
      <c r="H611" s="132"/>
    </row>
    <row r="612" ht="15.75" customHeight="1">
      <c r="H612" s="132"/>
    </row>
    <row r="613" ht="15.75" customHeight="1">
      <c r="H613" s="132"/>
    </row>
    <row r="614" ht="15.75" customHeight="1">
      <c r="H614" s="132"/>
    </row>
    <row r="615" ht="15.75" customHeight="1">
      <c r="H615" s="132"/>
    </row>
    <row r="616" ht="15.75" customHeight="1">
      <c r="H616" s="132"/>
    </row>
    <row r="617" ht="15.75" customHeight="1">
      <c r="H617" s="132"/>
    </row>
    <row r="618" ht="15.75" customHeight="1">
      <c r="H618" s="132"/>
    </row>
    <row r="619" ht="15.75" customHeight="1">
      <c r="H619" s="132"/>
    </row>
    <row r="620" ht="15.75" customHeight="1">
      <c r="H620" s="132"/>
    </row>
    <row r="621" ht="15.75" customHeight="1">
      <c r="H621" s="132"/>
    </row>
    <row r="622" ht="15.75" customHeight="1">
      <c r="H622" s="132"/>
    </row>
    <row r="623" ht="15.75" customHeight="1">
      <c r="H623" s="132"/>
    </row>
    <row r="624" ht="15.75" customHeight="1">
      <c r="H624" s="132"/>
    </row>
    <row r="625" ht="15.75" customHeight="1">
      <c r="H625" s="132"/>
    </row>
    <row r="626" ht="15.75" customHeight="1">
      <c r="H626" s="132"/>
    </row>
    <row r="627" ht="15.75" customHeight="1">
      <c r="H627" s="132"/>
    </row>
    <row r="628" ht="15.75" customHeight="1">
      <c r="H628" s="132"/>
    </row>
    <row r="629" ht="15.75" customHeight="1">
      <c r="H629" s="132"/>
    </row>
    <row r="630" ht="15.75" customHeight="1">
      <c r="H630" s="132"/>
    </row>
    <row r="631" ht="15.75" customHeight="1">
      <c r="H631" s="132"/>
    </row>
    <row r="632" ht="15.75" customHeight="1">
      <c r="H632" s="132"/>
    </row>
    <row r="633" ht="15.75" customHeight="1">
      <c r="H633" s="132"/>
    </row>
    <row r="634" ht="15.75" customHeight="1">
      <c r="H634" s="132"/>
    </row>
    <row r="635" ht="15.75" customHeight="1">
      <c r="H635" s="132"/>
    </row>
    <row r="636" ht="15.75" customHeight="1">
      <c r="H636" s="132"/>
    </row>
    <row r="637" ht="15.75" customHeight="1">
      <c r="H637" s="132"/>
    </row>
    <row r="638" ht="15.75" customHeight="1">
      <c r="H638" s="132"/>
    </row>
    <row r="639" ht="15.75" customHeight="1">
      <c r="H639" s="132"/>
    </row>
    <row r="640" ht="15.75" customHeight="1">
      <c r="H640" s="132"/>
    </row>
    <row r="641" ht="15.75" customHeight="1">
      <c r="H641" s="132"/>
    </row>
    <row r="642" ht="15.75" customHeight="1">
      <c r="H642" s="132"/>
    </row>
    <row r="643" ht="15.75" customHeight="1">
      <c r="H643" s="132"/>
    </row>
    <row r="644" ht="15.75" customHeight="1">
      <c r="H644" s="132"/>
    </row>
    <row r="645" ht="15.75" customHeight="1">
      <c r="H645" s="132"/>
    </row>
    <row r="646" ht="15.75" customHeight="1">
      <c r="H646" s="132"/>
    </row>
    <row r="647" ht="15.75" customHeight="1">
      <c r="H647" s="132"/>
    </row>
    <row r="648" ht="15.75" customHeight="1">
      <c r="H648" s="132"/>
    </row>
    <row r="649" ht="15.75" customHeight="1">
      <c r="H649" s="132"/>
    </row>
    <row r="650" ht="15.75" customHeight="1">
      <c r="H650" s="132"/>
    </row>
    <row r="651" ht="15.75" customHeight="1">
      <c r="H651" s="132"/>
    </row>
    <row r="652" ht="15.75" customHeight="1">
      <c r="H652" s="132"/>
    </row>
    <row r="653" ht="15.75" customHeight="1">
      <c r="H653" s="132"/>
    </row>
    <row r="654" ht="15.75" customHeight="1">
      <c r="H654" s="132"/>
    </row>
    <row r="655" ht="15.75" customHeight="1">
      <c r="H655" s="132"/>
    </row>
    <row r="656" ht="15.75" customHeight="1">
      <c r="H656" s="132"/>
    </row>
    <row r="657" ht="15.75" customHeight="1">
      <c r="H657" s="132"/>
    </row>
    <row r="658" ht="15.75" customHeight="1">
      <c r="H658" s="132"/>
    </row>
    <row r="659" ht="15.75" customHeight="1">
      <c r="H659" s="132"/>
    </row>
    <row r="660" ht="15.75" customHeight="1">
      <c r="H660" s="132"/>
    </row>
    <row r="661" ht="15.75" customHeight="1">
      <c r="H661" s="132"/>
    </row>
    <row r="662" ht="15.75" customHeight="1">
      <c r="H662" s="132"/>
    </row>
    <row r="663" ht="15.75" customHeight="1">
      <c r="H663" s="132"/>
    </row>
    <row r="664" ht="15.75" customHeight="1">
      <c r="H664" s="132"/>
    </row>
    <row r="665" ht="15.75" customHeight="1">
      <c r="H665" s="132"/>
    </row>
    <row r="666" ht="15.75" customHeight="1">
      <c r="H666" s="132"/>
    </row>
    <row r="667" ht="15.75" customHeight="1">
      <c r="H667" s="132"/>
    </row>
    <row r="668" ht="15.75" customHeight="1">
      <c r="H668" s="132"/>
    </row>
    <row r="669" ht="15.75" customHeight="1">
      <c r="H669" s="132"/>
    </row>
    <row r="670" ht="15.75" customHeight="1">
      <c r="H670" s="132"/>
    </row>
    <row r="671" ht="15.75" customHeight="1">
      <c r="H671" s="132"/>
    </row>
    <row r="672" ht="15.75" customHeight="1">
      <c r="H672" s="132"/>
    </row>
    <row r="673" ht="15.75" customHeight="1">
      <c r="H673" s="132"/>
    </row>
    <row r="674" ht="15.75" customHeight="1">
      <c r="H674" s="132"/>
    </row>
    <row r="675" ht="15.75" customHeight="1">
      <c r="H675" s="132"/>
    </row>
    <row r="676" ht="15.75" customHeight="1">
      <c r="H676" s="132"/>
    </row>
    <row r="677" ht="15.75" customHeight="1">
      <c r="H677" s="132"/>
    </row>
    <row r="678" ht="15.75" customHeight="1">
      <c r="H678" s="132"/>
    </row>
    <row r="679" ht="15.75" customHeight="1">
      <c r="H679" s="132"/>
    </row>
    <row r="680" ht="15.75" customHeight="1">
      <c r="H680" s="132"/>
    </row>
    <row r="681" ht="15.75" customHeight="1">
      <c r="H681" s="132"/>
    </row>
    <row r="682" ht="15.75" customHeight="1">
      <c r="H682" s="132"/>
    </row>
    <row r="683" ht="15.75" customHeight="1">
      <c r="H683" s="132"/>
    </row>
    <row r="684" ht="15.75" customHeight="1">
      <c r="H684" s="132"/>
    </row>
    <row r="685" ht="15.75" customHeight="1">
      <c r="H685" s="132"/>
    </row>
    <row r="686" ht="15.75" customHeight="1">
      <c r="H686" s="132"/>
    </row>
    <row r="687" ht="15.75" customHeight="1">
      <c r="H687" s="132"/>
    </row>
    <row r="688" ht="15.75" customHeight="1">
      <c r="H688" s="132"/>
    </row>
    <row r="689" ht="15.75" customHeight="1">
      <c r="H689" s="132"/>
    </row>
    <row r="690" ht="15.75" customHeight="1">
      <c r="H690" s="132"/>
    </row>
    <row r="691" ht="15.75" customHeight="1">
      <c r="H691" s="132"/>
    </row>
    <row r="692" ht="15.75" customHeight="1">
      <c r="H692" s="132"/>
    </row>
    <row r="693" ht="15.75" customHeight="1">
      <c r="H693" s="132"/>
    </row>
    <row r="694" ht="15.75" customHeight="1">
      <c r="H694" s="132"/>
    </row>
    <row r="695" ht="15.75" customHeight="1">
      <c r="H695" s="132"/>
    </row>
    <row r="696" ht="15.75" customHeight="1">
      <c r="H696" s="132"/>
    </row>
    <row r="697" ht="15.75" customHeight="1">
      <c r="H697" s="132"/>
    </row>
    <row r="698" ht="15.75" customHeight="1">
      <c r="H698" s="132"/>
    </row>
    <row r="699" ht="15.75" customHeight="1">
      <c r="H699" s="132"/>
    </row>
    <row r="700" ht="15.75" customHeight="1">
      <c r="H700" s="132"/>
    </row>
    <row r="701" ht="15.75" customHeight="1">
      <c r="H701" s="132"/>
    </row>
    <row r="702" ht="15.75" customHeight="1">
      <c r="H702" s="132"/>
    </row>
    <row r="703" ht="15.75" customHeight="1">
      <c r="H703" s="132"/>
    </row>
    <row r="704" ht="15.75" customHeight="1">
      <c r="H704" s="132"/>
    </row>
    <row r="705" ht="15.75" customHeight="1">
      <c r="H705" s="132"/>
    </row>
    <row r="706" ht="15.75" customHeight="1">
      <c r="H706" s="132"/>
    </row>
    <row r="707" ht="15.75" customHeight="1">
      <c r="H707" s="132"/>
    </row>
    <row r="708" ht="15.75" customHeight="1">
      <c r="H708" s="132"/>
    </row>
    <row r="709" ht="15.75" customHeight="1">
      <c r="H709" s="132"/>
    </row>
    <row r="710" ht="15.75" customHeight="1">
      <c r="H710" s="132"/>
    </row>
    <row r="711" ht="15.75" customHeight="1">
      <c r="H711" s="132"/>
    </row>
    <row r="712" ht="15.75" customHeight="1">
      <c r="H712" s="132"/>
    </row>
    <row r="713" ht="15.75" customHeight="1">
      <c r="H713" s="132"/>
    </row>
    <row r="714" ht="15.75" customHeight="1">
      <c r="H714" s="132"/>
    </row>
    <row r="715" ht="15.75" customHeight="1">
      <c r="H715" s="132"/>
    </row>
    <row r="716" ht="15.75" customHeight="1">
      <c r="H716" s="132"/>
    </row>
    <row r="717" ht="15.75" customHeight="1">
      <c r="H717" s="132"/>
    </row>
    <row r="718" ht="15.75" customHeight="1">
      <c r="H718" s="132"/>
    </row>
    <row r="719" ht="15.75" customHeight="1">
      <c r="H719" s="132"/>
    </row>
    <row r="720" ht="15.75" customHeight="1">
      <c r="H720" s="132"/>
    </row>
    <row r="721" ht="15.75" customHeight="1">
      <c r="H721" s="132"/>
    </row>
    <row r="722" ht="15.75" customHeight="1">
      <c r="H722" s="132"/>
    </row>
    <row r="723" ht="15.75" customHeight="1">
      <c r="H723" s="132"/>
    </row>
    <row r="724" ht="15.75" customHeight="1">
      <c r="H724" s="132"/>
    </row>
    <row r="725" ht="15.75" customHeight="1">
      <c r="H725" s="132"/>
    </row>
    <row r="726" ht="15.75" customHeight="1">
      <c r="H726" s="132"/>
    </row>
    <row r="727" ht="15.75" customHeight="1">
      <c r="H727" s="132"/>
    </row>
    <row r="728" ht="15.75" customHeight="1">
      <c r="H728" s="132"/>
    </row>
    <row r="729" ht="15.75" customHeight="1">
      <c r="H729" s="132"/>
    </row>
    <row r="730" ht="15.75" customHeight="1">
      <c r="H730" s="132"/>
    </row>
    <row r="731" ht="15.75" customHeight="1">
      <c r="H731" s="132"/>
    </row>
    <row r="732" ht="15.75" customHeight="1">
      <c r="H732" s="132"/>
    </row>
    <row r="733" ht="15.75" customHeight="1">
      <c r="H733" s="132"/>
    </row>
    <row r="734" ht="15.75" customHeight="1">
      <c r="H734" s="132"/>
    </row>
    <row r="735" ht="15.75" customHeight="1">
      <c r="H735" s="132"/>
    </row>
    <row r="736" ht="15.75" customHeight="1">
      <c r="H736" s="132"/>
    </row>
    <row r="737" ht="15.75" customHeight="1">
      <c r="H737" s="132"/>
    </row>
    <row r="738" ht="15.75" customHeight="1">
      <c r="H738" s="132"/>
    </row>
    <row r="739" ht="15.75" customHeight="1">
      <c r="H739" s="132"/>
    </row>
    <row r="740" ht="15.75" customHeight="1">
      <c r="H740" s="132"/>
    </row>
    <row r="741" ht="15.75" customHeight="1">
      <c r="H741" s="132"/>
    </row>
    <row r="742" ht="15.75" customHeight="1">
      <c r="H742" s="132"/>
    </row>
    <row r="743" ht="15.75" customHeight="1">
      <c r="H743" s="132"/>
    </row>
    <row r="744" ht="15.75" customHeight="1">
      <c r="H744" s="132"/>
    </row>
    <row r="745" ht="15.75" customHeight="1">
      <c r="H745" s="132"/>
    </row>
    <row r="746" ht="15.75" customHeight="1">
      <c r="H746" s="132"/>
    </row>
    <row r="747" ht="15.75" customHeight="1">
      <c r="H747" s="132"/>
    </row>
    <row r="748" ht="15.75" customHeight="1">
      <c r="H748" s="132"/>
    </row>
    <row r="749" ht="15.75" customHeight="1">
      <c r="H749" s="132"/>
    </row>
    <row r="750" ht="15.75" customHeight="1">
      <c r="H750" s="132"/>
    </row>
    <row r="751" ht="15.75" customHeight="1">
      <c r="H751" s="132"/>
    </row>
    <row r="752" ht="15.75" customHeight="1">
      <c r="H752" s="132"/>
    </row>
    <row r="753" ht="15.75" customHeight="1">
      <c r="H753" s="132"/>
    </row>
    <row r="754" ht="15.75" customHeight="1">
      <c r="H754" s="132"/>
    </row>
    <row r="755" ht="15.75" customHeight="1">
      <c r="H755" s="132"/>
    </row>
    <row r="756" ht="15.75" customHeight="1">
      <c r="H756" s="132"/>
    </row>
    <row r="757" ht="15.75" customHeight="1">
      <c r="H757" s="132"/>
    </row>
    <row r="758" ht="15.75" customHeight="1">
      <c r="H758" s="132"/>
    </row>
    <row r="759" ht="15.75" customHeight="1">
      <c r="H759" s="132"/>
    </row>
    <row r="760" ht="15.75" customHeight="1">
      <c r="H760" s="132"/>
    </row>
    <row r="761" ht="15.75" customHeight="1">
      <c r="H761" s="132"/>
    </row>
    <row r="762" ht="15.75" customHeight="1">
      <c r="H762" s="132"/>
    </row>
    <row r="763" ht="15.75" customHeight="1">
      <c r="H763" s="132"/>
    </row>
    <row r="764" ht="15.75" customHeight="1">
      <c r="H764" s="132"/>
    </row>
    <row r="765" ht="15.75" customHeight="1">
      <c r="H765" s="132"/>
    </row>
    <row r="766" ht="15.75" customHeight="1">
      <c r="H766" s="132"/>
    </row>
    <row r="767" ht="15.75" customHeight="1">
      <c r="H767" s="132"/>
    </row>
    <row r="768" ht="15.75" customHeight="1">
      <c r="H768" s="132"/>
    </row>
    <row r="769" ht="15.75" customHeight="1">
      <c r="H769" s="132"/>
    </row>
    <row r="770" ht="15.75" customHeight="1">
      <c r="H770" s="132"/>
    </row>
    <row r="771" ht="15.75" customHeight="1">
      <c r="H771" s="132"/>
    </row>
    <row r="772" ht="15.75" customHeight="1">
      <c r="H772" s="132"/>
    </row>
    <row r="773" ht="15.75" customHeight="1">
      <c r="H773" s="132"/>
    </row>
    <row r="774" ht="15.75" customHeight="1">
      <c r="H774" s="132"/>
    </row>
    <row r="775" ht="15.75" customHeight="1">
      <c r="H775" s="132"/>
    </row>
    <row r="776" ht="15.75" customHeight="1">
      <c r="H776" s="132"/>
    </row>
    <row r="777" ht="15.75" customHeight="1">
      <c r="H777" s="132"/>
    </row>
    <row r="778" ht="15.75" customHeight="1">
      <c r="H778" s="132"/>
    </row>
    <row r="779" ht="15.75" customHeight="1">
      <c r="H779" s="132"/>
    </row>
    <row r="780" ht="15.75" customHeight="1">
      <c r="H780" s="132"/>
    </row>
    <row r="781" ht="15.75" customHeight="1">
      <c r="H781" s="132"/>
    </row>
    <row r="782" ht="15.75" customHeight="1">
      <c r="H782" s="132"/>
    </row>
    <row r="783" ht="15.75" customHeight="1">
      <c r="H783" s="132"/>
    </row>
    <row r="784" ht="15.75" customHeight="1">
      <c r="H784" s="132"/>
    </row>
    <row r="785" ht="15.75" customHeight="1">
      <c r="H785" s="132"/>
    </row>
    <row r="786" ht="15.75" customHeight="1">
      <c r="H786" s="132"/>
    </row>
    <row r="787" ht="15.75" customHeight="1">
      <c r="H787" s="132"/>
    </row>
    <row r="788" ht="15.75" customHeight="1">
      <c r="H788" s="132"/>
    </row>
    <row r="789" ht="15.75" customHeight="1">
      <c r="H789" s="132"/>
    </row>
    <row r="790" ht="15.75" customHeight="1">
      <c r="H790" s="132"/>
    </row>
    <row r="791" ht="15.75" customHeight="1">
      <c r="H791" s="132"/>
    </row>
    <row r="792" ht="15.75" customHeight="1">
      <c r="H792" s="132"/>
    </row>
    <row r="793" ht="15.75" customHeight="1">
      <c r="H793" s="132"/>
    </row>
    <row r="794" ht="15.75" customHeight="1">
      <c r="H794" s="132"/>
    </row>
    <row r="795" ht="15.75" customHeight="1">
      <c r="H795" s="132"/>
    </row>
    <row r="796" ht="15.75" customHeight="1">
      <c r="H796" s="132"/>
    </row>
    <row r="797" ht="15.75" customHeight="1">
      <c r="H797" s="132"/>
    </row>
    <row r="798" ht="15.75" customHeight="1">
      <c r="H798" s="132"/>
    </row>
    <row r="799" ht="15.75" customHeight="1">
      <c r="H799" s="132"/>
    </row>
    <row r="800" ht="15.75" customHeight="1">
      <c r="H800" s="132"/>
    </row>
    <row r="801" ht="15.75" customHeight="1">
      <c r="H801" s="132"/>
    </row>
    <row r="802" ht="15.75" customHeight="1">
      <c r="H802" s="132"/>
    </row>
    <row r="803" ht="15.75" customHeight="1">
      <c r="H803" s="132"/>
    </row>
    <row r="804" ht="15.75" customHeight="1">
      <c r="H804" s="132"/>
    </row>
    <row r="805" ht="15.75" customHeight="1">
      <c r="H805" s="132"/>
    </row>
    <row r="806" ht="15.75" customHeight="1">
      <c r="H806" s="132"/>
    </row>
    <row r="807" ht="15.75" customHeight="1">
      <c r="H807" s="132"/>
    </row>
    <row r="808" ht="15.75" customHeight="1">
      <c r="H808" s="132"/>
    </row>
    <row r="809" ht="15.75" customHeight="1">
      <c r="H809" s="132"/>
    </row>
    <row r="810" ht="15.75" customHeight="1">
      <c r="H810" s="132"/>
    </row>
    <row r="811" ht="15.75" customHeight="1">
      <c r="H811" s="132"/>
    </row>
    <row r="812" ht="15.75" customHeight="1">
      <c r="H812" s="132"/>
    </row>
    <row r="813" ht="15.75" customHeight="1">
      <c r="H813" s="132"/>
    </row>
    <row r="814" ht="15.75" customHeight="1">
      <c r="H814" s="132"/>
    </row>
    <row r="815" ht="15.75" customHeight="1">
      <c r="H815" s="132"/>
    </row>
    <row r="816" ht="15.75" customHeight="1">
      <c r="H816" s="132"/>
    </row>
    <row r="817" ht="15.75" customHeight="1">
      <c r="H817" s="132"/>
    </row>
    <row r="818" ht="15.75" customHeight="1">
      <c r="H818" s="132"/>
    </row>
    <row r="819" ht="15.75" customHeight="1">
      <c r="H819" s="132"/>
    </row>
    <row r="820" ht="15.75" customHeight="1">
      <c r="H820" s="132"/>
    </row>
    <row r="821" ht="15.75" customHeight="1">
      <c r="H821" s="132"/>
    </row>
    <row r="822" ht="15.75" customHeight="1">
      <c r="H822" s="132"/>
    </row>
    <row r="823" ht="15.75" customHeight="1">
      <c r="H823" s="132"/>
    </row>
    <row r="824" ht="15.75" customHeight="1">
      <c r="H824" s="132"/>
    </row>
    <row r="825" ht="15.75" customHeight="1">
      <c r="H825" s="132"/>
    </row>
    <row r="826" ht="15.75" customHeight="1">
      <c r="H826" s="132"/>
    </row>
    <row r="827" ht="15.75" customHeight="1">
      <c r="H827" s="132"/>
    </row>
    <row r="828" ht="15.75" customHeight="1">
      <c r="H828" s="132"/>
    </row>
    <row r="829" ht="15.75" customHeight="1">
      <c r="H829" s="132"/>
    </row>
    <row r="830" ht="15.75" customHeight="1">
      <c r="H830" s="132"/>
    </row>
    <row r="831" ht="15.75" customHeight="1">
      <c r="H831" s="132"/>
    </row>
    <row r="832" ht="15.75" customHeight="1">
      <c r="H832" s="132"/>
    </row>
    <row r="833" ht="15.75" customHeight="1">
      <c r="H833" s="132"/>
    </row>
    <row r="834" ht="15.75" customHeight="1">
      <c r="H834" s="132"/>
    </row>
    <row r="835" ht="15.75" customHeight="1">
      <c r="H835" s="132"/>
    </row>
    <row r="836" ht="15.75" customHeight="1">
      <c r="H836" s="132"/>
    </row>
    <row r="837" ht="15.75" customHeight="1">
      <c r="H837" s="132"/>
    </row>
    <row r="838" ht="15.75" customHeight="1">
      <c r="H838" s="132"/>
    </row>
    <row r="839" ht="15.75" customHeight="1">
      <c r="H839" s="132"/>
    </row>
    <row r="840" ht="15.75" customHeight="1">
      <c r="H840" s="132"/>
    </row>
    <row r="841" ht="15.75" customHeight="1">
      <c r="H841" s="132"/>
    </row>
    <row r="842" ht="15.75" customHeight="1">
      <c r="H842" s="132"/>
    </row>
    <row r="843" ht="15.75" customHeight="1">
      <c r="H843" s="132"/>
    </row>
    <row r="844" ht="15.75" customHeight="1">
      <c r="H844" s="132"/>
    </row>
    <row r="845" ht="15.75" customHeight="1">
      <c r="H845" s="132"/>
    </row>
    <row r="846" ht="15.75" customHeight="1">
      <c r="H846" s="132"/>
    </row>
    <row r="847" ht="15.75" customHeight="1">
      <c r="H847" s="132"/>
    </row>
    <row r="848" ht="15.75" customHeight="1">
      <c r="H848" s="132"/>
    </row>
    <row r="849" ht="15.75" customHeight="1">
      <c r="H849" s="132"/>
    </row>
    <row r="850" ht="15.75" customHeight="1">
      <c r="H850" s="132"/>
    </row>
    <row r="851" ht="15.75" customHeight="1">
      <c r="H851" s="132"/>
    </row>
    <row r="852" ht="15.75" customHeight="1">
      <c r="H852" s="132"/>
    </row>
    <row r="853" ht="15.75" customHeight="1">
      <c r="H853" s="132"/>
    </row>
    <row r="854" ht="15.75" customHeight="1">
      <c r="H854" s="132"/>
    </row>
    <row r="855" ht="15.75" customHeight="1">
      <c r="H855" s="132"/>
    </row>
    <row r="856" ht="15.75" customHeight="1">
      <c r="H856" s="132"/>
    </row>
    <row r="857" ht="15.75" customHeight="1">
      <c r="H857" s="132"/>
    </row>
    <row r="858" ht="15.75" customHeight="1">
      <c r="H858" s="132"/>
    </row>
    <row r="859" ht="15.75" customHeight="1">
      <c r="H859" s="132"/>
    </row>
    <row r="860" ht="15.75" customHeight="1">
      <c r="H860" s="132"/>
    </row>
    <row r="861" ht="15.75" customHeight="1">
      <c r="H861" s="132"/>
    </row>
    <row r="862" ht="15.75" customHeight="1">
      <c r="H862" s="132"/>
    </row>
    <row r="863" ht="15.75" customHeight="1">
      <c r="H863" s="132"/>
    </row>
    <row r="864" ht="15.75" customHeight="1">
      <c r="H864" s="132"/>
    </row>
    <row r="865" ht="15.75" customHeight="1">
      <c r="H865" s="132"/>
    </row>
    <row r="866" ht="15.75" customHeight="1">
      <c r="H866" s="132"/>
    </row>
    <row r="867" ht="15.75" customHeight="1">
      <c r="H867" s="132"/>
    </row>
    <row r="868" ht="15.75" customHeight="1">
      <c r="H868" s="132"/>
    </row>
    <row r="869" ht="15.75" customHeight="1">
      <c r="H869" s="132"/>
    </row>
    <row r="870" ht="15.75" customHeight="1">
      <c r="H870" s="132"/>
    </row>
    <row r="871" ht="15.75" customHeight="1">
      <c r="H871" s="132"/>
    </row>
    <row r="872" ht="15.75" customHeight="1">
      <c r="H872" s="132"/>
    </row>
    <row r="873" ht="15.75" customHeight="1">
      <c r="H873" s="132"/>
    </row>
    <row r="874" ht="15.75" customHeight="1">
      <c r="H874" s="132"/>
    </row>
    <row r="875" ht="15.75" customHeight="1">
      <c r="H875" s="132"/>
    </row>
    <row r="876" ht="15.75" customHeight="1">
      <c r="H876" s="132"/>
    </row>
    <row r="877" ht="15.75" customHeight="1">
      <c r="H877" s="132"/>
    </row>
    <row r="878" ht="15.75" customHeight="1">
      <c r="H878" s="132"/>
    </row>
    <row r="879" ht="15.75" customHeight="1">
      <c r="H879" s="132"/>
    </row>
    <row r="880" ht="15.75" customHeight="1">
      <c r="H880" s="132"/>
    </row>
    <row r="881" ht="15.75" customHeight="1">
      <c r="H881" s="132"/>
    </row>
    <row r="882" ht="15.75" customHeight="1">
      <c r="H882" s="132"/>
    </row>
    <row r="883" ht="15.75" customHeight="1">
      <c r="H883" s="132"/>
    </row>
    <row r="884" ht="15.75" customHeight="1">
      <c r="H884" s="132"/>
    </row>
    <row r="885" ht="15.75" customHeight="1">
      <c r="H885" s="132"/>
    </row>
    <row r="886" ht="15.75" customHeight="1">
      <c r="H886" s="132"/>
    </row>
    <row r="887" ht="15.75" customHeight="1">
      <c r="H887" s="132"/>
    </row>
    <row r="888" ht="15.75" customHeight="1">
      <c r="H888" s="132"/>
    </row>
    <row r="889" ht="15.75" customHeight="1">
      <c r="H889" s="132"/>
    </row>
    <row r="890" ht="15.75" customHeight="1">
      <c r="H890" s="132"/>
    </row>
    <row r="891" ht="15.75" customHeight="1">
      <c r="H891" s="132"/>
    </row>
    <row r="892" ht="15.75" customHeight="1">
      <c r="H892" s="132"/>
    </row>
    <row r="893" ht="15.75" customHeight="1">
      <c r="H893" s="132"/>
    </row>
    <row r="894" ht="15.75" customHeight="1">
      <c r="H894" s="132"/>
    </row>
    <row r="895" ht="15.75" customHeight="1">
      <c r="H895" s="132"/>
    </row>
    <row r="896" ht="15.75" customHeight="1">
      <c r="H896" s="132"/>
    </row>
    <row r="897" ht="15.75" customHeight="1">
      <c r="H897" s="132"/>
    </row>
    <row r="898" ht="15.75" customHeight="1">
      <c r="H898" s="132"/>
    </row>
    <row r="899" ht="15.75" customHeight="1">
      <c r="H899" s="132"/>
    </row>
    <row r="900" ht="15.75" customHeight="1">
      <c r="H900" s="132"/>
    </row>
    <row r="901" ht="15.75" customHeight="1">
      <c r="H901" s="132"/>
    </row>
    <row r="902" ht="15.75" customHeight="1">
      <c r="H902" s="132"/>
    </row>
    <row r="903" ht="15.75" customHeight="1">
      <c r="H903" s="132"/>
    </row>
    <row r="904" ht="15.75" customHeight="1">
      <c r="H904" s="132"/>
    </row>
    <row r="905" ht="15.75" customHeight="1">
      <c r="H905" s="132"/>
    </row>
    <row r="906" ht="15.75" customHeight="1">
      <c r="H906" s="132"/>
    </row>
    <row r="907" ht="15.75" customHeight="1">
      <c r="H907" s="132"/>
    </row>
    <row r="908" ht="15.75" customHeight="1">
      <c r="H908" s="132"/>
    </row>
    <row r="909" ht="15.75" customHeight="1">
      <c r="H909" s="132"/>
    </row>
    <row r="910" ht="15.75" customHeight="1">
      <c r="H910" s="132"/>
    </row>
    <row r="911" ht="15.75" customHeight="1">
      <c r="H911" s="132"/>
    </row>
    <row r="912" ht="15.75" customHeight="1">
      <c r="H912" s="132"/>
    </row>
    <row r="913" ht="15.75" customHeight="1">
      <c r="H913" s="132"/>
    </row>
    <row r="914" ht="15.75" customHeight="1">
      <c r="H914" s="132"/>
    </row>
    <row r="915" ht="15.75" customHeight="1">
      <c r="H915" s="132"/>
    </row>
    <row r="916" ht="15.75" customHeight="1">
      <c r="H916" s="132"/>
    </row>
    <row r="917" ht="15.75" customHeight="1">
      <c r="H917" s="132"/>
    </row>
    <row r="918" ht="15.75" customHeight="1">
      <c r="H918" s="132"/>
    </row>
    <row r="919" ht="15.75" customHeight="1">
      <c r="H919" s="132"/>
    </row>
    <row r="920" ht="15.75" customHeight="1">
      <c r="H920" s="132"/>
    </row>
    <row r="921" ht="15.75" customHeight="1">
      <c r="H921" s="132"/>
    </row>
    <row r="922" ht="15.75" customHeight="1">
      <c r="H922" s="132"/>
    </row>
    <row r="923" ht="15.75" customHeight="1">
      <c r="H923" s="132"/>
    </row>
    <row r="924" ht="15.75" customHeight="1">
      <c r="H924" s="132"/>
    </row>
    <row r="925" ht="15.75" customHeight="1">
      <c r="H925" s="132"/>
    </row>
    <row r="926" ht="15.75" customHeight="1">
      <c r="H926" s="132"/>
    </row>
    <row r="927" ht="15.75" customHeight="1">
      <c r="H927" s="132"/>
    </row>
    <row r="928" ht="15.75" customHeight="1">
      <c r="H928" s="132"/>
    </row>
    <row r="929" ht="15.75" customHeight="1">
      <c r="H929" s="132"/>
    </row>
    <row r="930" ht="15.75" customHeight="1">
      <c r="H930" s="132"/>
    </row>
    <row r="931" ht="15.75" customHeight="1">
      <c r="H931" s="132"/>
    </row>
    <row r="932" ht="15.75" customHeight="1">
      <c r="H932" s="132"/>
    </row>
    <row r="933" ht="15.75" customHeight="1">
      <c r="H933" s="132"/>
    </row>
    <row r="934" ht="15.75" customHeight="1">
      <c r="H934" s="132"/>
    </row>
    <row r="935" ht="15.75" customHeight="1">
      <c r="H935" s="132"/>
    </row>
    <row r="936" ht="15.75" customHeight="1">
      <c r="H936" s="132"/>
    </row>
    <row r="937" ht="15.75" customHeight="1">
      <c r="H937" s="132"/>
    </row>
    <row r="938" ht="15.75" customHeight="1">
      <c r="H938" s="132"/>
    </row>
    <row r="939" ht="15.75" customHeight="1">
      <c r="H939" s="132"/>
    </row>
    <row r="940" ht="15.75" customHeight="1">
      <c r="H940" s="132"/>
    </row>
    <row r="941" ht="15.75" customHeight="1">
      <c r="H941" s="132"/>
    </row>
    <row r="942" ht="15.75" customHeight="1">
      <c r="H942" s="132"/>
    </row>
    <row r="943" ht="15.75" customHeight="1">
      <c r="H943" s="132"/>
    </row>
    <row r="944" ht="15.75" customHeight="1">
      <c r="H944" s="132"/>
    </row>
    <row r="945" ht="15.75" customHeight="1">
      <c r="H945" s="132"/>
    </row>
    <row r="946" ht="15.75" customHeight="1">
      <c r="H946" s="132"/>
    </row>
    <row r="947" ht="15.75" customHeight="1">
      <c r="H947" s="132"/>
    </row>
    <row r="948" ht="15.75" customHeight="1">
      <c r="H948" s="132"/>
    </row>
    <row r="949" ht="15.75" customHeight="1">
      <c r="H949" s="132"/>
    </row>
    <row r="950" ht="15.75" customHeight="1">
      <c r="H950" s="132"/>
    </row>
    <row r="951" ht="15.75" customHeight="1">
      <c r="H951" s="132"/>
    </row>
    <row r="952" ht="15.75" customHeight="1">
      <c r="H952" s="132"/>
    </row>
    <row r="953" ht="15.75" customHeight="1">
      <c r="H953" s="132"/>
    </row>
    <row r="954" ht="15.75" customHeight="1">
      <c r="H954" s="132"/>
    </row>
    <row r="955" ht="15.75" customHeight="1">
      <c r="H955" s="132"/>
    </row>
    <row r="956" ht="15.75" customHeight="1">
      <c r="H956" s="132"/>
    </row>
    <row r="957" ht="15.75" customHeight="1">
      <c r="H957" s="132"/>
    </row>
    <row r="958" ht="15.75" customHeight="1">
      <c r="H958" s="132"/>
    </row>
    <row r="959" ht="15.75" customHeight="1">
      <c r="H959" s="132"/>
    </row>
    <row r="960" ht="15.75" customHeight="1">
      <c r="H960" s="132"/>
    </row>
    <row r="961" ht="15.75" customHeight="1">
      <c r="H961" s="132"/>
    </row>
    <row r="962" ht="15.75" customHeight="1">
      <c r="H962" s="132"/>
    </row>
    <row r="963" ht="15.75" customHeight="1">
      <c r="H963" s="132"/>
    </row>
    <row r="964" ht="15.75" customHeight="1">
      <c r="H964" s="132"/>
    </row>
    <row r="965" ht="15.75" customHeight="1">
      <c r="H965" s="132"/>
    </row>
    <row r="966" ht="15.75" customHeight="1">
      <c r="H966" s="132"/>
    </row>
    <row r="967" ht="15.75" customHeight="1">
      <c r="H967" s="132"/>
    </row>
    <row r="968" ht="15.75" customHeight="1">
      <c r="H968" s="132"/>
    </row>
    <row r="969" ht="15.75" customHeight="1">
      <c r="H969" s="132"/>
    </row>
    <row r="970" ht="15.75" customHeight="1">
      <c r="H970" s="132"/>
    </row>
    <row r="971" ht="15.75" customHeight="1">
      <c r="H971" s="132"/>
    </row>
    <row r="972" ht="15.75" customHeight="1">
      <c r="H972" s="132"/>
    </row>
    <row r="973" ht="15.75" customHeight="1">
      <c r="H973" s="132"/>
    </row>
    <row r="974" ht="15.75" customHeight="1">
      <c r="H974" s="132"/>
    </row>
    <row r="975" ht="15.75" customHeight="1">
      <c r="H975" s="132"/>
    </row>
    <row r="976" ht="15.75" customHeight="1">
      <c r="H976" s="132"/>
    </row>
    <row r="977" ht="15.75" customHeight="1">
      <c r="H977" s="132"/>
    </row>
    <row r="978" ht="15.75" customHeight="1">
      <c r="H978" s="132"/>
    </row>
    <row r="979" ht="15.75" customHeight="1">
      <c r="H979" s="132"/>
    </row>
    <row r="980" ht="15.75" customHeight="1">
      <c r="H980" s="132"/>
    </row>
    <row r="981" ht="15.75" customHeight="1">
      <c r="H981" s="132"/>
    </row>
    <row r="982" ht="15.75" customHeight="1">
      <c r="H982" s="132"/>
    </row>
    <row r="983" ht="15.75" customHeight="1">
      <c r="H983" s="132"/>
    </row>
    <row r="984" ht="15.75" customHeight="1">
      <c r="H984" s="132"/>
    </row>
    <row r="985" ht="15.75" customHeight="1">
      <c r="H985" s="132"/>
    </row>
    <row r="986" ht="15.75" customHeight="1">
      <c r="H986" s="132"/>
    </row>
    <row r="987" ht="15.75" customHeight="1">
      <c r="H987" s="132"/>
    </row>
    <row r="988" ht="15.75" customHeight="1">
      <c r="H988" s="132"/>
    </row>
    <row r="989" ht="15.75" customHeight="1">
      <c r="H989" s="132"/>
    </row>
    <row r="990" ht="15.75" customHeight="1">
      <c r="H990" s="132"/>
    </row>
    <row r="991" ht="15.75" customHeight="1">
      <c r="H991" s="132"/>
    </row>
    <row r="992" ht="15.75" customHeight="1">
      <c r="H992" s="132"/>
    </row>
    <row r="993" ht="15.75" customHeight="1">
      <c r="H993" s="132"/>
    </row>
    <row r="994" ht="15.75" customHeight="1">
      <c r="H994" s="132"/>
    </row>
    <row r="995" ht="15.75" customHeight="1">
      <c r="H995" s="132"/>
    </row>
    <row r="996" ht="15.75" customHeight="1">
      <c r="H996" s="132"/>
    </row>
    <row r="997" ht="15.75" customHeight="1">
      <c r="H997" s="132"/>
    </row>
    <row r="998" ht="15.75" customHeight="1">
      <c r="H998" s="132"/>
    </row>
    <row r="999" ht="15.75" customHeight="1">
      <c r="H999" s="132"/>
    </row>
    <row r="1000" ht="15.75" customHeight="1">
      <c r="H1000" s="132"/>
    </row>
    <row r="1001" ht="15.75" customHeight="1">
      <c r="H1001" s="132"/>
    </row>
    <row r="1002" ht="15.75" customHeight="1">
      <c r="H1002" s="132"/>
    </row>
    <row r="1003" ht="15.75" customHeight="1">
      <c r="H1003" s="132"/>
    </row>
    <row r="1004" ht="15.75" customHeight="1">
      <c r="H1004" s="132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11" max="11" width="4.25"/>
  </cols>
  <sheetData>
    <row r="1" ht="3.75" customHeight="1"/>
    <row r="2">
      <c r="B2" s="131" t="s">
        <v>53</v>
      </c>
    </row>
    <row r="3">
      <c r="B3" s="131" t="s">
        <v>54</v>
      </c>
    </row>
    <row r="5">
      <c r="B5" s="71" t="s">
        <v>21</v>
      </c>
      <c r="C5" s="143" t="s">
        <v>4</v>
      </c>
      <c r="D5" s="10"/>
      <c r="E5" s="143" t="s">
        <v>5</v>
      </c>
      <c r="F5" s="10"/>
      <c r="G5" s="144" t="s">
        <v>6</v>
      </c>
      <c r="H5" s="10"/>
      <c r="I5" s="143" t="s">
        <v>7</v>
      </c>
      <c r="J5" s="10"/>
    </row>
    <row r="6">
      <c r="B6" s="28"/>
      <c r="C6" s="71" t="s">
        <v>27</v>
      </c>
      <c r="D6" s="71" t="s">
        <v>18</v>
      </c>
      <c r="E6" s="145" t="s">
        <v>27</v>
      </c>
      <c r="F6" s="145" t="s">
        <v>18</v>
      </c>
      <c r="G6" s="71" t="s">
        <v>27</v>
      </c>
      <c r="H6" s="71" t="s">
        <v>18</v>
      </c>
      <c r="I6" s="71" t="s">
        <v>27</v>
      </c>
      <c r="J6" s="71" t="s">
        <v>18</v>
      </c>
    </row>
    <row r="7">
      <c r="B7" s="146">
        <v>0.0</v>
      </c>
      <c r="C7" s="147">
        <f>'Dados prontos Dia 0'!I4</f>
        <v>-0.2777520063</v>
      </c>
      <c r="D7" s="148">
        <f>'Dados prontos Dia 0'!J4</f>
        <v>-0.1423305075</v>
      </c>
      <c r="E7" s="147">
        <f>'Dados prontos Dia 0'!I9</f>
        <v>-0.7544053462</v>
      </c>
      <c r="F7" s="149">
        <f>'Dados prontos Dia 0'!J9</f>
        <v>-0.7083563486</v>
      </c>
      <c r="G7" s="147">
        <f>'Dados prontos Dia 0'!I14</f>
        <v>-0.1574194739</v>
      </c>
      <c r="H7" s="149">
        <f>'Dados prontos Dia 0'!J14</f>
        <v>0.0005643747448</v>
      </c>
      <c r="I7" s="147">
        <f>'Dados prontos Dia 0'!I19</f>
        <v>-0.6760122405</v>
      </c>
      <c r="J7" s="148">
        <f>'Dados prontos Dia 0'!J19</f>
        <v>-0.5603023265</v>
      </c>
    </row>
    <row r="8">
      <c r="B8" s="146">
        <v>25.0</v>
      </c>
      <c r="C8" s="150">
        <f>'Dados prontos Dia 0'!I5</f>
        <v>-0.4732165316</v>
      </c>
      <c r="D8" s="151">
        <f>'Dados prontos Dia 0'!J5</f>
        <v>-0.2850795786</v>
      </c>
      <c r="E8" s="150">
        <f>'Dados prontos Dia 0'!I10</f>
        <v>-0.824177991</v>
      </c>
      <c r="F8" s="152">
        <f>'Dados prontos Dia 0'!J10</f>
        <v>-0.7430293715</v>
      </c>
      <c r="G8" s="150">
        <f>'Dados prontos Dia 0'!I15</f>
        <v>-0.401067572</v>
      </c>
      <c r="H8" s="152">
        <f>'Dados prontos Dia 0'!J15</f>
        <v>-0.401067572</v>
      </c>
      <c r="I8" s="150">
        <f>'Dados prontos Dia 0'!I20</f>
        <v>-0.797204291</v>
      </c>
      <c r="J8" s="151">
        <f>'Dados prontos Dia 0'!J20</f>
        <v>-0.7591800956</v>
      </c>
    </row>
    <row r="9">
      <c r="B9" s="146">
        <v>50.0</v>
      </c>
      <c r="C9" s="150">
        <f>'Dados prontos Dia 0'!I6</f>
        <v>-0.5971640959</v>
      </c>
      <c r="D9" s="151">
        <f>'Dados prontos Dia 0'!J6</f>
        <v>-0.4897411881</v>
      </c>
      <c r="E9" s="150">
        <f>'Dados prontos Dia 0'!I11</f>
        <v>-0.9740374977</v>
      </c>
      <c r="F9" s="152">
        <f>'Dados prontos Dia 0'!J11</f>
        <v>-0.9013424914</v>
      </c>
      <c r="G9" s="150">
        <f>'Dados prontos Dia 0'!I16</f>
        <v>-0.9160705867</v>
      </c>
      <c r="H9" s="152">
        <f>'Dados prontos Dia 0'!J16</f>
        <v>-0.8006676433</v>
      </c>
      <c r="I9" s="150">
        <f>'Dados prontos Dia 0'!I21</f>
        <v>-0.9525495455</v>
      </c>
      <c r="J9" s="151">
        <f>'Dados prontos Dia 0'!J21</f>
        <v>-0.8497402275</v>
      </c>
    </row>
    <row r="10">
      <c r="B10" s="146">
        <v>75.0</v>
      </c>
      <c r="C10" s="150">
        <f>'Dados prontos Dia 0'!I7</f>
        <v>-0.9614733657</v>
      </c>
      <c r="D10" s="151">
        <f>'Dados prontos Dia 0'!J7</f>
        <v>-0.8535987896</v>
      </c>
      <c r="E10" s="150" t="str">
        <f>'Dados prontos Dia 0'!I12</f>
        <v>#DIV/0!</v>
      </c>
      <c r="F10" s="152">
        <f>'Dados prontos Dia 0'!J12</f>
        <v>-0.8574253304</v>
      </c>
      <c r="G10" s="150" t="str">
        <f>'Dados prontos Dia 0'!I17</f>
        <v>#DIV/0!</v>
      </c>
      <c r="H10" s="152" t="str">
        <f>'Dados prontos Dia 0'!J17</f>
        <v>#DIV/0!</v>
      </c>
      <c r="I10" s="150">
        <f>'Dados prontos Dia 0'!I22</f>
        <v>-0.9963091282</v>
      </c>
      <c r="J10" s="151">
        <f>'Dados prontos Dia 0'!J22</f>
        <v>-0.964936718</v>
      </c>
    </row>
    <row r="11">
      <c r="B11" s="146">
        <v>100.0</v>
      </c>
      <c r="C11" s="153">
        <f>'Dados prontos Dia 0'!I8</f>
        <v>-0.9850848332</v>
      </c>
      <c r="D11" s="154">
        <f>'Dados prontos Dia 0'!J8</f>
        <v>-0.8583059151</v>
      </c>
      <c r="E11" s="153" t="str">
        <f>'Dados prontos Dia 0'!I13</f>
        <v>#DIV/0!</v>
      </c>
      <c r="F11" s="155" t="str">
        <f>'Dados prontos Dia 0'!J13</f>
        <v>#DIV/0!</v>
      </c>
      <c r="G11" s="153" t="str">
        <f>'Dados prontos Dia 0'!I18</f>
        <v>#DIV/0!</v>
      </c>
      <c r="H11" s="155" t="str">
        <f>'Dados prontos Dia 0'!J18</f>
        <v>#DIV/0!</v>
      </c>
      <c r="I11" s="153" t="str">
        <f>'Dados prontos Dia 0'!I23</f>
        <v>#DIV/0!</v>
      </c>
      <c r="J11" s="154" t="str">
        <f>'Dados prontos Dia 0'!J23</f>
        <v>#DIV/0!</v>
      </c>
    </row>
    <row r="13">
      <c r="B13" s="131" t="s">
        <v>55</v>
      </c>
    </row>
    <row r="15">
      <c r="B15" s="71" t="s">
        <v>21</v>
      </c>
      <c r="C15" s="143" t="s">
        <v>4</v>
      </c>
      <c r="D15" s="10"/>
      <c r="E15" s="143" t="s">
        <v>5</v>
      </c>
      <c r="F15" s="10"/>
      <c r="G15" s="144" t="s">
        <v>6</v>
      </c>
      <c r="H15" s="10"/>
      <c r="I15" s="143" t="s">
        <v>7</v>
      </c>
      <c r="J15" s="10"/>
    </row>
    <row r="16">
      <c r="B16" s="28"/>
      <c r="C16" s="71" t="s">
        <v>27</v>
      </c>
      <c r="D16" s="71" t="s">
        <v>18</v>
      </c>
      <c r="E16" s="71" t="s">
        <v>27</v>
      </c>
      <c r="F16" s="71" t="s">
        <v>18</v>
      </c>
      <c r="G16" s="71" t="s">
        <v>27</v>
      </c>
      <c r="H16" s="71" t="s">
        <v>18</v>
      </c>
      <c r="I16" s="71" t="s">
        <v>27</v>
      </c>
      <c r="J16" s="71" t="s">
        <v>18</v>
      </c>
    </row>
    <row r="17">
      <c r="B17" s="146">
        <v>0.0</v>
      </c>
      <c r="C17" s="147">
        <f>'Dados prontos Dia 7'!I4</f>
        <v>-0.1629030759</v>
      </c>
      <c r="D17" s="148">
        <f>'Dados prontos Dia 7'!J4</f>
        <v>0.07626747381</v>
      </c>
      <c r="E17" s="147">
        <f>'Dados prontos Dia 7'!I9</f>
        <v>-0.2794814608</v>
      </c>
      <c r="F17" s="148">
        <f>'Dados prontos Dia 7'!J9</f>
        <v>0.08077780875</v>
      </c>
      <c r="G17" s="147">
        <f>'Dados prontos Dia 7'!I14</f>
        <v>-0.2529969334</v>
      </c>
      <c r="H17" s="148">
        <f>'Dados prontos Dia 7'!J14</f>
        <v>0.03431193841</v>
      </c>
      <c r="I17" s="149">
        <f>'Dados prontos Dia 7'!I19</f>
        <v>0.1714989313</v>
      </c>
      <c r="J17" s="148">
        <f>'Dados prontos Dia 7'!J19</f>
        <v>0.1714989313</v>
      </c>
    </row>
    <row r="18">
      <c r="B18" s="146">
        <v>25.0</v>
      </c>
      <c r="C18" s="150">
        <f>'Dados prontos Dia 7'!I5</f>
        <v>0.02913298021</v>
      </c>
      <c r="D18" s="151">
        <f>'Dados prontos Dia 7'!J5</f>
        <v>0.1577746027</v>
      </c>
      <c r="E18" s="150">
        <f>'Dados prontos Dia 7'!I10</f>
        <v>-0.03289657095</v>
      </c>
      <c r="F18" s="151">
        <f>'Dados prontos Dia 7'!J10</f>
        <v>0.08799135768</v>
      </c>
      <c r="G18" s="150">
        <f>'Dados prontos Dia 7'!I15</f>
        <v>-0.1570021373</v>
      </c>
      <c r="H18" s="151">
        <f>'Dados prontos Dia 7'!J15</f>
        <v>0.01159743518</v>
      </c>
      <c r="I18" s="152">
        <f>'Dados prontos Dia 7'!I20</f>
        <v>0.01839977697</v>
      </c>
      <c r="J18" s="151">
        <f>'Dados prontos Dia 7'!J20</f>
        <v>0.1456997491</v>
      </c>
    </row>
    <row r="19">
      <c r="B19" s="146">
        <v>50.0</v>
      </c>
      <c r="C19" s="150">
        <f>'Dados prontos Dia 7'!I6</f>
        <v>-0.2595948332</v>
      </c>
      <c r="D19" s="151">
        <f>'Dados prontos Dia 7'!J6</f>
        <v>-0.1670441873</v>
      </c>
      <c r="E19" s="150">
        <f>'Dados prontos Dia 7'!I11</f>
        <v>-0.4518632097</v>
      </c>
      <c r="F19" s="151">
        <f>'Dados prontos Dia 7'!J11</f>
        <v>-0.3422358517</v>
      </c>
      <c r="G19" s="150">
        <f>'Dados prontos Dia 7'!I16</f>
        <v>-0.4171545395</v>
      </c>
      <c r="H19" s="151">
        <f>'Dados prontos Dia 7'!J16</f>
        <v>-0.1929832086</v>
      </c>
      <c r="I19" s="152">
        <f>'Dados prontos Dia 7'!I21</f>
        <v>-0.5146361862</v>
      </c>
      <c r="J19" s="151">
        <f>'Dados prontos Dia 7'!J21</f>
        <v>-0.3279577963</v>
      </c>
    </row>
    <row r="20">
      <c r="B20" s="146">
        <v>75.0</v>
      </c>
      <c r="C20" s="150">
        <f>'Dados prontos Dia 7'!I7</f>
        <v>-0.637812471</v>
      </c>
      <c r="D20" s="151">
        <f>'Dados prontos Dia 7'!J7</f>
        <v>-0.4985095752</v>
      </c>
      <c r="E20" s="150">
        <f>'Dados prontos Dia 7'!I12</f>
        <v>-0.8910417247</v>
      </c>
      <c r="F20" s="151">
        <f>'Dados prontos Dia 7'!J12</f>
        <v>-0.5096877614</v>
      </c>
      <c r="G20" s="150">
        <f>'Dados prontos Dia 7'!I17</f>
        <v>-0.8661369761</v>
      </c>
      <c r="H20" s="151">
        <f>'Dados prontos Dia 7'!J17</f>
        <v>-0.5984109284</v>
      </c>
      <c r="I20" s="152">
        <f>'Dados prontos Dia 7'!I22</f>
        <v>-0.9245887929</v>
      </c>
      <c r="J20" s="151">
        <f>'Dados prontos Dia 7'!J22</f>
        <v>-0.6606495679</v>
      </c>
    </row>
    <row r="21">
      <c r="B21" s="146">
        <v>100.0</v>
      </c>
      <c r="C21" s="153">
        <f>'Dados prontos Dia 7'!I8</f>
        <v>-0.915203048</v>
      </c>
      <c r="D21" s="154">
        <f>'Dados prontos Dia 7'!J8</f>
        <v>-0.694730973</v>
      </c>
      <c r="E21" s="153">
        <f>'Dados prontos Dia 7'!I13</f>
        <v>-0.9345321067</v>
      </c>
      <c r="F21" s="154">
        <f>'Dados prontos Dia 7'!J13</f>
        <v>-0.7053944801</v>
      </c>
      <c r="G21" s="153">
        <f>'Dados prontos Dia 7'!I18</f>
        <v>-0.9872688412</v>
      </c>
      <c r="H21" s="154">
        <f>'Dados prontos Dia 7'!J18</f>
        <v>-0.8854195707</v>
      </c>
      <c r="I21" s="155">
        <f>'Dados prontos Dia 7'!I23</f>
        <v>-0.9629681256</v>
      </c>
      <c r="J21" s="154">
        <f>'Dados prontos Dia 7'!J23</f>
        <v>-0.6667131307</v>
      </c>
    </row>
    <row r="23">
      <c r="B23" s="131" t="s">
        <v>56</v>
      </c>
    </row>
    <row r="25">
      <c r="B25" s="71" t="s">
        <v>21</v>
      </c>
      <c r="C25" s="143" t="s">
        <v>4</v>
      </c>
      <c r="D25" s="10"/>
      <c r="E25" s="143" t="s">
        <v>5</v>
      </c>
      <c r="F25" s="10"/>
      <c r="G25" s="144" t="s">
        <v>6</v>
      </c>
      <c r="H25" s="10"/>
      <c r="I25" s="143" t="s">
        <v>7</v>
      </c>
      <c r="J25" s="10"/>
    </row>
    <row r="26">
      <c r="B26" s="28"/>
      <c r="C26" s="71" t="s">
        <v>27</v>
      </c>
      <c r="D26" s="71" t="s">
        <v>18</v>
      </c>
      <c r="E26" s="71" t="s">
        <v>27</v>
      </c>
      <c r="F26" s="71" t="s">
        <v>18</v>
      </c>
      <c r="G26" s="71" t="s">
        <v>27</v>
      </c>
      <c r="H26" s="71" t="s">
        <v>18</v>
      </c>
      <c r="I26" s="71" t="s">
        <v>27</v>
      </c>
      <c r="J26" s="71" t="s">
        <v>18</v>
      </c>
    </row>
    <row r="27">
      <c r="B27" s="146">
        <v>0.0</v>
      </c>
      <c r="C27" s="147">
        <f>'Dados prontos Dia 14'!I4</f>
        <v>0.3030354707</v>
      </c>
      <c r="D27" s="148">
        <f>'Dados prontos Dia 14'!J4</f>
        <v>0.5202080491</v>
      </c>
      <c r="E27" s="147">
        <f>'Dados prontos Dia 14'!I9</f>
        <v>0.5748635744</v>
      </c>
      <c r="F27" s="148">
        <f>'Dados prontos Dia 14'!J9</f>
        <v>0.4698726694</v>
      </c>
      <c r="G27" s="147">
        <f>'Dados prontos Dia 14'!I14</f>
        <v>0.3068553888</v>
      </c>
      <c r="H27" s="148">
        <f>'Dados prontos Dia 14'!J14</f>
        <v>0.1434984652</v>
      </c>
      <c r="I27" s="149">
        <f>'Dados prontos Dia 14'!I19</f>
        <v>0.8594133697</v>
      </c>
      <c r="J27" s="148">
        <f>'Dados prontos Dia 14'!J19</f>
        <v>0.4462103987</v>
      </c>
    </row>
    <row r="28">
      <c r="B28" s="146">
        <v>25.0</v>
      </c>
      <c r="C28" s="150">
        <f>'Dados prontos Dia 14'!I5</f>
        <v>-0.2483628922</v>
      </c>
      <c r="D28" s="151">
        <f>'Dados prontos Dia 14'!J5</f>
        <v>-0.2483628922</v>
      </c>
      <c r="E28" s="150">
        <f>'Dados prontos Dia 14'!I10</f>
        <v>-0.1043315143</v>
      </c>
      <c r="F28" s="151">
        <f>'Dados prontos Dia 14'!J10</f>
        <v>-0.216290075</v>
      </c>
      <c r="G28" s="150">
        <f>'Dados prontos Dia 14'!I15</f>
        <v>-0.2217939973</v>
      </c>
      <c r="H28" s="151">
        <f>'Dados prontos Dia 14'!J15</f>
        <v>-0.2217939973</v>
      </c>
      <c r="I28" s="152">
        <f>'Dados prontos Dia 14'!I20</f>
        <v>0.1747612551</v>
      </c>
      <c r="J28" s="151">
        <f>'Dados prontos Dia 14'!J20</f>
        <v>0.02791609823</v>
      </c>
    </row>
    <row r="29">
      <c r="B29" s="146">
        <v>50.0</v>
      </c>
      <c r="C29" s="150">
        <f>'Dados prontos Dia 14'!I6</f>
        <v>-0.4236357435</v>
      </c>
      <c r="D29" s="151">
        <f>'Dados prontos Dia 14'!J6</f>
        <v>-0.3793000315</v>
      </c>
      <c r="E29" s="150">
        <f>'Dados prontos Dia 14'!I11</f>
        <v>-0.4939631651</v>
      </c>
      <c r="F29" s="151">
        <f>'Dados prontos Dia 14'!J11</f>
        <v>-0.5276989541</v>
      </c>
      <c r="G29" s="150">
        <f>'Dados prontos Dia 14'!I16</f>
        <v>-0.4731582538</v>
      </c>
      <c r="H29" s="151">
        <f>'Dados prontos Dia 14'!J16</f>
        <v>-0.4326319656</v>
      </c>
      <c r="I29" s="152">
        <f>'Dados prontos Dia 14'!I21</f>
        <v>-0.12381196</v>
      </c>
      <c r="J29" s="151">
        <f>'Dados prontos Dia 14'!J21</f>
        <v>-0.2784333788</v>
      </c>
    </row>
    <row r="30">
      <c r="B30" s="146">
        <v>75.0</v>
      </c>
      <c r="C30" s="150">
        <f>'Dados prontos Dia 14'!I7</f>
        <v>-0.5183151432</v>
      </c>
      <c r="D30" s="151">
        <f>'Dados prontos Dia 14'!J7</f>
        <v>-0.550427467</v>
      </c>
      <c r="E30" s="150">
        <f>'Dados prontos Dia 14'!I12</f>
        <v>-0.5243860846</v>
      </c>
      <c r="F30" s="151">
        <f>'Dados prontos Dia 14'!J12</f>
        <v>-0.583837824</v>
      </c>
      <c r="G30" s="150">
        <f>'Dados prontos Dia 14'!I17</f>
        <v>-0.4652114598</v>
      </c>
      <c r="H30" s="151">
        <f>'Dados prontos Dia 14'!J17</f>
        <v>-0.5008640291</v>
      </c>
      <c r="I30" s="152">
        <f>'Dados prontos Dia 14'!I22</f>
        <v>-0.5628922237</v>
      </c>
      <c r="J30" s="151">
        <f>'Dados prontos Dia 14'!J22</f>
        <v>-0.5628922237</v>
      </c>
    </row>
    <row r="31">
      <c r="B31" s="146">
        <v>100.0</v>
      </c>
      <c r="C31" s="153">
        <f>'Dados prontos Dia 14'!I8</f>
        <v>-0.8186903138</v>
      </c>
      <c r="D31" s="154">
        <f>'Dados prontos Dia 14'!J8</f>
        <v>-0.6827080491</v>
      </c>
      <c r="E31" s="153">
        <f>'Dados prontos Dia 14'!I13</f>
        <v>-0.7627216917</v>
      </c>
      <c r="F31" s="154">
        <f>'Dados prontos Dia 14'!J13</f>
        <v>-0.6309004093</v>
      </c>
      <c r="G31" s="153">
        <f>'Dados prontos Dia 14'!I18</f>
        <v>-0.6341746248</v>
      </c>
      <c r="H31" s="154">
        <f>'Dados prontos Dia 14'!J18</f>
        <v>-0.6799027967</v>
      </c>
      <c r="I31" s="155">
        <f>'Dados prontos Dia 14'!I23</f>
        <v>-0.7633356071</v>
      </c>
      <c r="J31" s="154">
        <f>'Dados prontos Dia 14'!J23</f>
        <v>-0.6987907727</v>
      </c>
    </row>
  </sheetData>
  <mergeCells count="15">
    <mergeCell ref="E15:F15"/>
    <mergeCell ref="G15:H15"/>
    <mergeCell ref="B25:B26"/>
    <mergeCell ref="C25:D25"/>
    <mergeCell ref="E25:F25"/>
    <mergeCell ref="G25:H25"/>
    <mergeCell ref="I25:J25"/>
    <mergeCell ref="B5:B6"/>
    <mergeCell ref="C5:D5"/>
    <mergeCell ref="E5:F5"/>
    <mergeCell ref="G5:H5"/>
    <mergeCell ref="I5:J5"/>
    <mergeCell ref="B15:B16"/>
    <mergeCell ref="C15:D15"/>
    <mergeCell ref="I15:J15"/>
  </mergeCells>
  <drawing r:id="rId1"/>
</worksheet>
</file>