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  <sheet state="visible" name="Gráficos" sheetId="8" r:id="rId11"/>
  </sheets>
  <definedNames/>
  <calcPr/>
  <extLst>
    <ext uri="GoogleSheetsCustomDataVersion2">
      <go:sheetsCustomData xmlns:go="http://customooxmlschemas.google.com/" r:id="rId12" roundtripDataChecksum="TZeZRWPipXAZBUHXcIcIujh+SzWAUNmySCs9JVl3a6w="/>
    </ext>
  </extLst>
</workbook>
</file>

<file path=xl/sharedStrings.xml><?xml version="1.0" encoding="utf-8"?>
<sst xmlns="http://schemas.openxmlformats.org/spreadsheetml/2006/main" count="283" uniqueCount="35">
  <si>
    <t xml:space="preserve"> </t>
  </si>
  <si>
    <t>AMOSTRA</t>
  </si>
  <si>
    <t>pH</t>
  </si>
  <si>
    <t>TURBIDEZ (NTU)</t>
  </si>
  <si>
    <t>CONDUTIVIDADE mS/cm</t>
  </si>
  <si>
    <t>COR</t>
  </si>
  <si>
    <t>DQO</t>
  </si>
  <si>
    <t>Medida</t>
  </si>
  <si>
    <t>Diluição</t>
  </si>
  <si>
    <t>Triplicata  1</t>
  </si>
  <si>
    <t>Triplicata  2</t>
  </si>
  <si>
    <t>Média</t>
  </si>
  <si>
    <t>Valor</t>
  </si>
  <si>
    <t>AI</t>
  </si>
  <si>
    <t>A</t>
  </si>
  <si>
    <t>BI</t>
  </si>
  <si>
    <t>B</t>
  </si>
  <si>
    <t>μS/cm</t>
  </si>
  <si>
    <t>I</t>
  </si>
  <si>
    <t>X</t>
  </si>
  <si>
    <t>Duplicata 1</t>
  </si>
  <si>
    <t>Duplicata 2</t>
  </si>
  <si>
    <t>Dia 0</t>
  </si>
  <si>
    <t>Dia 7</t>
  </si>
  <si>
    <t>Dia 14</t>
  </si>
  <si>
    <t>Redução (%)</t>
  </si>
  <si>
    <t>Degradação DQO (%)</t>
  </si>
  <si>
    <t>TURBIDEZ
(NTU)</t>
  </si>
  <si>
    <t>CONDUTIVIDADE
mS/cm</t>
  </si>
  <si>
    <t>Concentrações</t>
  </si>
  <si>
    <t>DEGRADAÇÃO DE DQO (%)</t>
  </si>
  <si>
    <t>(%)</t>
  </si>
  <si>
    <t>Turbidez</t>
  </si>
  <si>
    <t>Condutividade</t>
  </si>
  <si>
    <t>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</si>
</sst>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sz val="11.0"/>
      <color rgb="FF4D5156"/>
      <name val="Arial"/>
    </font>
    <font>
      <color theme="1"/>
      <name val="Arial"/>
    </font>
    <font/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351C75"/>
        <bgColor rgb="FF351C75"/>
      </patternFill>
    </fill>
    <fill>
      <patternFill patternType="solid">
        <fgColor rgb="FF0B5394"/>
        <bgColor rgb="FF0B5394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</fills>
  <borders count="16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1" fillId="3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3" fontId="2" numFmtId="2" xfId="0" applyAlignment="1" applyBorder="1" applyFont="1" applyNumberFormat="1">
      <alignment horizontal="center" vertical="center"/>
    </xf>
    <xf borderId="4" fillId="3" fontId="2" numFmtId="2" xfId="0" applyAlignment="1" applyBorder="1" applyFont="1" applyNumberFormat="1">
      <alignment horizontal="center" vertical="center"/>
    </xf>
    <xf borderId="5" fillId="0" fontId="3" numFmtId="0" xfId="0" applyBorder="1" applyFont="1"/>
    <xf borderId="4" fillId="3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2" numFmtId="2" xfId="0" applyAlignment="1" applyBorder="1" applyFont="1" applyNumberFormat="1">
      <alignment horizontal="center" vertical="center"/>
    </xf>
    <xf borderId="10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3" fontId="2" numFmtId="164" xfId="0" applyAlignment="1" applyBorder="1" applyFont="1" applyNumberFormat="1">
      <alignment horizontal="center"/>
    </xf>
    <xf borderId="9" fillId="3" fontId="2" numFmtId="164" xfId="0" applyAlignment="1" applyBorder="1" applyFont="1" applyNumberFormat="1">
      <alignment horizontal="center"/>
    </xf>
    <xf borderId="11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readingOrder="0"/>
    </xf>
    <xf borderId="10" fillId="0" fontId="2" numFmtId="16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/>
    </xf>
    <xf borderId="11" fillId="0" fontId="3" numFmtId="0" xfId="0" applyBorder="1" applyFont="1"/>
    <xf borderId="5" fillId="3" fontId="2" numFmtId="0" xfId="0" applyAlignment="1" applyBorder="1" applyFont="1">
      <alignment horizontal="center" vertical="center"/>
    </xf>
    <xf borderId="10" fillId="0" fontId="2" numFmtId="2" xfId="0" applyAlignment="1" applyBorder="1" applyFont="1" applyNumberFormat="1">
      <alignment horizontal="center" readingOrder="0"/>
    </xf>
    <xf borderId="5" fillId="3" fontId="2" numFmtId="1" xfId="0" applyAlignment="1" applyBorder="1" applyFont="1" applyNumberFormat="1">
      <alignment horizontal="center" vertical="center"/>
    </xf>
    <xf borderId="4" fillId="3" fontId="2" numFmtId="165" xfId="0" applyAlignment="1" applyBorder="1" applyFont="1" applyNumberFormat="1">
      <alignment horizontal="center"/>
    </xf>
    <xf borderId="12" fillId="0" fontId="3" numFmtId="0" xfId="0" applyBorder="1" applyFont="1"/>
    <xf borderId="2" fillId="3" fontId="2" numFmtId="164" xfId="0" applyAlignment="1" applyBorder="1" applyFont="1" applyNumberFormat="1">
      <alignment horizontal="center" vertical="center"/>
    </xf>
    <xf borderId="6" fillId="3" fontId="2" numFmtId="164" xfId="0" applyAlignment="1" applyBorder="1" applyFont="1" applyNumberFormat="1">
      <alignment horizontal="center" vertical="center"/>
    </xf>
    <xf borderId="11" fillId="3" fontId="2" numFmtId="164" xfId="0" applyAlignment="1" applyBorder="1" applyFont="1" applyNumberFormat="1">
      <alignment horizontal="center" readingOrder="0" vertical="center"/>
    </xf>
    <xf borderId="10" fillId="0" fontId="2" numFmtId="2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 vertical="center"/>
    </xf>
    <xf borderId="13" fillId="3" fontId="2" numFmtId="2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9" fillId="0" fontId="3" numFmtId="0" xfId="0" applyBorder="1" applyFont="1"/>
    <xf borderId="12" fillId="0" fontId="2" numFmtId="2" xfId="0" applyAlignment="1" applyBorder="1" applyFont="1" applyNumberFormat="1">
      <alignment horizontal="center" vertical="center"/>
    </xf>
    <xf borderId="5" fillId="3" fontId="2" numFmtId="165" xfId="0" applyAlignment="1" applyBorder="1" applyFont="1" applyNumberFormat="1">
      <alignment horizontal="center"/>
    </xf>
    <xf borderId="12" fillId="0" fontId="2" numFmtId="2" xfId="0" applyAlignment="1" applyBorder="1" applyFont="1" applyNumberFormat="1">
      <alignment horizontal="center"/>
    </xf>
    <xf borderId="11" fillId="3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164" xfId="0" applyAlignment="1" applyBorder="1" applyFont="1" applyNumberFormat="1">
      <alignment horizontal="center"/>
    </xf>
    <xf borderId="2" fillId="3" fontId="2" numFmtId="0" xfId="0" applyAlignment="1" applyBorder="1" applyFont="1">
      <alignment horizontal="center" readingOrder="0" vertical="center"/>
    </xf>
    <xf borderId="10" fillId="0" fontId="2" numFmtId="2" xfId="0" applyAlignment="1" applyBorder="1" applyFont="1" applyNumberFormat="1">
      <alignment horizontal="center" vertical="bottom"/>
    </xf>
    <xf borderId="4" fillId="3" fontId="2" numFmtId="165" xfId="0" applyAlignment="1" applyBorder="1" applyFont="1" applyNumberFormat="1">
      <alignment horizontal="center" readingOrder="0"/>
    </xf>
    <xf borderId="12" fillId="4" fontId="2" numFmtId="2" xfId="0" applyAlignment="1" applyBorder="1" applyFill="1" applyFont="1" applyNumberFormat="1">
      <alignment horizontal="center" vertical="center"/>
    </xf>
    <xf borderId="10" fillId="4" fontId="2" numFmtId="2" xfId="0" applyAlignment="1" applyBorder="1" applyFont="1" applyNumberFormat="1">
      <alignment horizontal="center" vertical="center"/>
    </xf>
    <xf borderId="2" fillId="4" fontId="2" numFmtId="2" xfId="0" applyAlignment="1" applyBorder="1" applyFont="1" applyNumberFormat="1">
      <alignment horizontal="center" readingOrder="0" vertical="center"/>
    </xf>
    <xf borderId="12" fillId="5" fontId="2" numFmtId="2" xfId="0" applyAlignment="1" applyBorder="1" applyFill="1" applyFont="1" applyNumberFormat="1">
      <alignment horizontal="center" vertical="center"/>
    </xf>
    <xf borderId="10" fillId="5" fontId="2" numFmtId="2" xfId="0" applyAlignment="1" applyBorder="1" applyFont="1" applyNumberFormat="1">
      <alignment horizontal="center" vertical="center"/>
    </xf>
    <xf borderId="3" fillId="5" fontId="2" numFmtId="2" xfId="0" applyAlignment="1" applyBorder="1" applyFont="1" applyNumberFormat="1">
      <alignment horizontal="center" readingOrder="0" vertical="center"/>
    </xf>
    <xf borderId="12" fillId="6" fontId="2" numFmtId="2" xfId="0" applyAlignment="1" applyBorder="1" applyFill="1" applyFont="1" applyNumberFormat="1">
      <alignment horizontal="center" vertical="center"/>
    </xf>
    <xf borderId="10" fillId="6" fontId="2" numFmtId="2" xfId="0" applyAlignment="1" applyBorder="1" applyFont="1" applyNumberFormat="1">
      <alignment horizontal="center" vertical="center"/>
    </xf>
    <xf borderId="2" fillId="6" fontId="2" numFmtId="2" xfId="0" applyAlignment="1" applyBorder="1" applyFont="1" applyNumberFormat="1">
      <alignment horizontal="center" readingOrder="0" vertical="center"/>
    </xf>
    <xf borderId="12" fillId="7" fontId="2" numFmtId="2" xfId="0" applyAlignment="1" applyBorder="1" applyFill="1" applyFont="1" applyNumberFormat="1">
      <alignment horizontal="center" vertical="center"/>
    </xf>
    <xf borderId="10" fillId="7" fontId="2" numFmtId="2" xfId="0" applyAlignment="1" applyBorder="1" applyFont="1" applyNumberFormat="1">
      <alignment horizontal="center" vertical="center"/>
    </xf>
    <xf borderId="2" fillId="7" fontId="2" numFmtId="2" xfId="0" applyAlignment="1" applyBorder="1" applyFont="1" applyNumberFormat="1">
      <alignment horizontal="center" readingOrder="0" vertical="center"/>
    </xf>
    <xf borderId="12" fillId="8" fontId="2" numFmtId="2" xfId="0" applyAlignment="1" applyBorder="1" applyFill="1" applyFont="1" applyNumberFormat="1">
      <alignment horizontal="center" vertical="center"/>
    </xf>
    <xf borderId="10" fillId="8" fontId="2" numFmtId="2" xfId="0" applyAlignment="1" applyBorder="1" applyFont="1" applyNumberFormat="1">
      <alignment horizontal="center" vertical="center"/>
    </xf>
    <xf borderId="3" fillId="8" fontId="2" numFmtId="0" xfId="0" applyAlignment="1" applyBorder="1" applyFont="1">
      <alignment horizontal="center" shrinkToFit="0" vertical="center" wrapText="1"/>
    </xf>
    <xf borderId="13" fillId="4" fontId="2" numFmtId="2" xfId="0" applyAlignment="1" applyBorder="1" applyFont="1" applyNumberFormat="1">
      <alignment horizontal="center" vertical="center"/>
    </xf>
    <xf borderId="1" fillId="0" fontId="3" numFmtId="0" xfId="0" applyBorder="1" applyFont="1"/>
    <xf borderId="13" fillId="5" fontId="2" numFmtId="2" xfId="0" applyAlignment="1" applyBorder="1" applyFont="1" applyNumberFormat="1">
      <alignment horizontal="center" vertical="center"/>
    </xf>
    <xf borderId="14" fillId="0" fontId="3" numFmtId="0" xfId="0" applyBorder="1" applyFont="1"/>
    <xf borderId="13" fillId="6" fontId="2" numFmtId="2" xfId="0" applyAlignment="1" applyBorder="1" applyFont="1" applyNumberFormat="1">
      <alignment horizontal="center" vertical="center"/>
    </xf>
    <xf borderId="13" fillId="7" fontId="2" numFmtId="2" xfId="0" applyAlignment="1" applyBorder="1" applyFont="1" applyNumberFormat="1">
      <alignment horizontal="center" vertical="center"/>
    </xf>
    <xf borderId="13" fillId="8" fontId="2" numFmtId="0" xfId="0" applyAlignment="1" applyBorder="1" applyFont="1">
      <alignment horizontal="center" vertical="center"/>
    </xf>
    <xf borderId="13" fillId="0" fontId="2" numFmtId="2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2" fillId="0" fontId="2" numFmtId="2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/>
    </xf>
    <xf borderId="15" fillId="0" fontId="2" numFmtId="2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11" fillId="0" fontId="2" numFmtId="2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2" numFmtId="2" xfId="0" applyAlignment="1" applyFont="1" applyNumberFormat="1">
      <alignment horizontal="center"/>
    </xf>
    <xf borderId="11" fillId="0" fontId="2" numFmtId="0" xfId="0" applyAlignment="1" applyBorder="1" applyFont="1">
      <alignment horizontal="center"/>
    </xf>
    <xf borderId="4" fillId="3" fontId="2" numFmtId="1" xfId="0" applyAlignment="1" applyBorder="1" applyFont="1" applyNumberFormat="1">
      <alignment horizontal="center" vertical="center"/>
    </xf>
    <xf borderId="9" fillId="0" fontId="2" numFmtId="2" xfId="0" applyAlignment="1" applyBorder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5" fillId="3" fontId="2" numFmtId="2" xfId="0" applyAlignment="1" applyBorder="1" applyFont="1" applyNumberFormat="1">
      <alignment horizontal="center" vertical="center"/>
    </xf>
    <xf borderId="3" fillId="3" fontId="2" numFmtId="164" xfId="0" applyAlignment="1" applyBorder="1" applyFont="1" applyNumberFormat="1">
      <alignment horizontal="center" vertical="center"/>
    </xf>
    <xf borderId="13" fillId="0" fontId="2" numFmtId="2" xfId="0" applyAlignment="1" applyBorder="1" applyFont="1" applyNumberFormat="1">
      <alignment horizontal="center"/>
    </xf>
    <xf borderId="15" fillId="0" fontId="2" numFmtId="2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4" fillId="3" fontId="2" numFmtId="164" xfId="0" applyAlignment="1" applyBorder="1" applyFont="1" applyNumberFormat="1">
      <alignment horizontal="center" vertical="center"/>
    </xf>
    <xf borderId="5" fillId="3" fontId="2" numFmtId="164" xfId="0" applyAlignment="1" applyBorder="1" applyFont="1" applyNumberFormat="1">
      <alignment horizontal="center" vertical="center"/>
    </xf>
    <xf borderId="3" fillId="3" fontId="2" numFmtId="164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  <xf borderId="7" fillId="0" fontId="2" numFmtId="2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4" fillId="4" fontId="2" numFmtId="2" xfId="0" applyAlignment="1" applyBorder="1" applyFont="1" applyNumberFormat="1">
      <alignment horizontal="center" vertical="center"/>
    </xf>
    <xf borderId="10" fillId="3" fontId="2" numFmtId="1" xfId="0" applyAlignment="1" applyBorder="1" applyFont="1" applyNumberFormat="1">
      <alignment horizontal="center" vertical="center"/>
    </xf>
    <xf borderId="10" fillId="9" fontId="2" numFmtId="2" xfId="0" applyAlignment="1" applyBorder="1" applyFill="1" applyFont="1" applyNumberFormat="1">
      <alignment horizontal="center"/>
    </xf>
    <xf borderId="4" fillId="9" fontId="2" numFmtId="2" xfId="0" applyAlignment="1" applyBorder="1" applyFont="1" applyNumberFormat="1">
      <alignment horizontal="center" vertical="center"/>
    </xf>
    <xf borderId="10" fillId="10" fontId="2" numFmtId="2" xfId="0" applyAlignment="1" applyBorder="1" applyFill="1" applyFont="1" applyNumberFormat="1">
      <alignment horizontal="center" vertical="center"/>
    </xf>
    <xf borderId="4" fillId="10" fontId="2" numFmtId="2" xfId="0" applyAlignment="1" applyBorder="1" applyFont="1" applyNumberFormat="1">
      <alignment horizontal="center" vertical="center"/>
    </xf>
    <xf borderId="3" fillId="11" fontId="2" numFmtId="2" xfId="0" applyAlignment="1" applyBorder="1" applyFill="1" applyFont="1" applyNumberFormat="1">
      <alignment horizontal="center"/>
    </xf>
    <xf borderId="10" fillId="11" fontId="2" numFmtId="2" xfId="0" applyAlignment="1" applyBorder="1" applyFont="1" applyNumberFormat="1">
      <alignment horizontal="center"/>
    </xf>
    <xf borderId="4" fillId="11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10" fillId="12" fontId="2" numFmtId="2" xfId="0" applyAlignment="1" applyBorder="1" applyFill="1" applyFont="1" applyNumberFormat="1">
      <alignment horizontal="center" vertical="center"/>
    </xf>
    <xf borderId="4" fillId="1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13" fontId="2" numFmtId="0" xfId="0" applyAlignment="1" applyFill="1" applyFont="1">
      <alignment horizontal="left"/>
    </xf>
    <xf borderId="3" fillId="0" fontId="2" numFmtId="2" xfId="0" applyAlignment="1" applyBorder="1" applyFont="1" applyNumberFormat="1">
      <alignment horizontal="center" vertical="center"/>
    </xf>
    <xf borderId="3" fillId="0" fontId="2" numFmtId="2" xfId="0" applyAlignment="1" applyBorder="1" applyFont="1" applyNumberFormat="1">
      <alignment horizontal="center"/>
    </xf>
    <xf borderId="14" fillId="0" fontId="2" numFmtId="2" xfId="0" applyAlignment="1" applyBorder="1" applyFont="1" applyNumberFormat="1">
      <alignment horizontal="center" vertical="center"/>
    </xf>
    <xf borderId="14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 vertical="center"/>
    </xf>
    <xf borderId="0" fillId="0" fontId="2" numFmtId="0" xfId="0" applyFont="1"/>
    <xf borderId="0" fillId="13" fontId="2" numFmtId="0" xfId="0" applyFont="1"/>
    <xf borderId="4" fillId="14" fontId="2" numFmtId="0" xfId="0" applyAlignment="1" applyBorder="1" applyFill="1" applyFont="1">
      <alignment horizontal="center"/>
    </xf>
    <xf borderId="10" fillId="14" fontId="2" numFmtId="0" xfId="0" applyAlignment="1" applyBorder="1" applyFont="1">
      <alignment horizontal="center"/>
    </xf>
    <xf borderId="4" fillId="15" fontId="2" numFmtId="0" xfId="0" applyAlignment="1" applyBorder="1" applyFill="1" applyFont="1">
      <alignment horizontal="center"/>
    </xf>
    <xf borderId="10" fillId="15" fontId="2" numFmtId="0" xfId="0" applyAlignment="1" applyBorder="1" applyFont="1">
      <alignment horizontal="center"/>
    </xf>
    <xf borderId="4" fillId="16" fontId="2" numFmtId="0" xfId="0" applyAlignment="1" applyBorder="1" applyFill="1" applyFont="1">
      <alignment horizontal="center"/>
    </xf>
    <xf borderId="10" fillId="16" fontId="2" numFmtId="0" xfId="0" applyAlignment="1" applyBorder="1" applyFont="1">
      <alignment horizontal="center"/>
    </xf>
    <xf borderId="4" fillId="17" fontId="2" numFmtId="0" xfId="0" applyAlignment="1" applyBorder="1" applyFill="1" applyFont="1">
      <alignment horizontal="center"/>
    </xf>
    <xf borderId="10" fillId="17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/>
    </xf>
    <xf borderId="4" fillId="18" fontId="2" numFmtId="0" xfId="0" applyAlignment="1" applyBorder="1" applyFill="1" applyFont="1">
      <alignment horizontal="center"/>
    </xf>
    <xf borderId="10" fillId="18" fontId="2" numFmtId="0" xfId="0" applyAlignment="1" applyBorder="1" applyFont="1">
      <alignment horizontal="center"/>
    </xf>
    <xf borderId="4" fillId="0" fontId="2" numFmtId="2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 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'Gráficos'!$C$4:$C$8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'Gráficos'!$D$4:$D$8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'Gráficos'!$B$4:$B$8</c:f>
            </c:strRef>
          </c:cat>
          <c:val>
            <c:numRef>
              <c:f>'Gráficos'!$E$4:$E$8</c:f>
              <c:numCache/>
            </c:numRef>
          </c:val>
        </c:ser>
        <c:axId val="223844965"/>
        <c:axId val="1099094528"/>
      </c:barChart>
      <c:catAx>
        <c:axId val="223844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9094528"/>
      </c:catAx>
      <c:valAx>
        <c:axId val="1099094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8449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Candida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'Gráficos'!$C$12:$C$16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'Gráficos'!$D$12:$D$16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'Gráficos'!$B$12:$B$16</c:f>
            </c:strRef>
          </c:cat>
          <c:val>
            <c:numRef>
              <c:f>'Gráficos'!$E$12:$E$16</c:f>
              <c:numCache/>
            </c:numRef>
          </c:val>
        </c:ser>
        <c:axId val="1248617978"/>
        <c:axId val="1238003559"/>
      </c:barChart>
      <c:catAx>
        <c:axId val="1248617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8003559"/>
      </c:catAx>
      <c:valAx>
        <c:axId val="1238003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61797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 (mS/cm)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'Gráficos'!$C$20:$C$24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'Gráficos'!$D$20:$D$24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'Gráficos'!$B$20:$B$24</c:f>
            </c:strRef>
          </c:cat>
          <c:val>
            <c:numRef>
              <c:f>'Gráficos'!$E$20:$E$24</c:f>
              <c:numCache/>
            </c:numRef>
          </c:val>
        </c:ser>
        <c:axId val="1588835226"/>
        <c:axId val="212127325"/>
      </c:barChart>
      <c:catAx>
        <c:axId val="1588835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2127325"/>
      </c:catAx>
      <c:valAx>
        <c:axId val="2121273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83522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'Gráficos'!$C$28:$C$32</c:f>
              <c:numCache/>
            </c:numRef>
          </c:val>
        </c:ser>
        <c:ser>
          <c:idx val="1"/>
          <c:order val="1"/>
          <c:tx>
            <c:v>Dia 7</c:v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'Gráficos'!$D$28:$D$32</c:f>
              <c:numCache/>
            </c:numRef>
          </c:val>
        </c:ser>
        <c:ser>
          <c:idx val="2"/>
          <c:order val="2"/>
          <c:tx>
            <c:v>Dia 14</c:v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cat>
            <c:strRef>
              <c:f>'Gráficos'!$B$28:$B$32</c:f>
            </c:strRef>
          </c:cat>
          <c:val>
            <c:numRef>
              <c:f>'Gráficos'!$E$28:$E$32</c:f>
              <c:numCache/>
            </c:numRef>
          </c:val>
        </c:ser>
        <c:axId val="382025828"/>
        <c:axId val="1165154000"/>
      </c:barChart>
      <c:catAx>
        <c:axId val="382025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65154000"/>
      </c:catAx>
      <c:valAx>
        <c:axId val="1165154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202582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DQO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'Gráficos'!$C$36:$C$40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'Gráficos'!$D$36:$D$40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'Gráficos'!$B$36:$B$40</c:f>
            </c:strRef>
          </c:cat>
          <c:val>
            <c:numRef>
              <c:f>'Gráficos'!$E$36:$E$40</c:f>
              <c:numCache/>
            </c:numRef>
          </c:val>
        </c:ser>
        <c:axId val="1185845924"/>
        <c:axId val="599285438"/>
      </c:barChart>
      <c:catAx>
        <c:axId val="1185845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9285438"/>
      </c:catAx>
      <c:valAx>
        <c:axId val="5992854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58459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'Gráficos'!$C$53:$C$54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'Gráficos'!$C$55:$C$59</c:f>
              <c:numCache/>
            </c:numRef>
          </c:val>
        </c:ser>
        <c:ser>
          <c:idx val="1"/>
          <c:order val="1"/>
          <c:tx>
            <c:strRef>
              <c:f>'Gráficos'!$D$53:$D$54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'Gráficos'!$D$55:$D$59</c:f>
              <c:numCache/>
            </c:numRef>
          </c:val>
        </c:ser>
        <c:ser>
          <c:idx val="2"/>
          <c:order val="2"/>
          <c:tx>
            <c:strRef>
              <c:f>'Gráficos'!$E$53:$E$54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'Gráficos'!$E$55:$E$59</c:f>
              <c:numCache/>
            </c:numRef>
          </c:val>
        </c:ser>
        <c:ser>
          <c:idx val="3"/>
          <c:order val="3"/>
          <c:tx>
            <c:strRef>
              <c:f>'Gráficos'!$F$53:$F$54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'Gráficos'!$B$55:$B$59</c:f>
            </c:strRef>
          </c:cat>
          <c:val>
            <c:numRef>
              <c:f>'Gráficos'!$F$55:$F$59</c:f>
              <c:numCache/>
            </c:numRef>
          </c:val>
        </c:ser>
        <c:axId val="457304372"/>
        <c:axId val="727514959"/>
      </c:barChart>
      <c:catAx>
        <c:axId val="457304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7514959"/>
      </c:catAx>
      <c:valAx>
        <c:axId val="727514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30437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'Gráficos'!$K$53:$K$54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'Gráficos'!$K$55:$K$59</c:f>
              <c:numCache/>
            </c:numRef>
          </c:val>
        </c:ser>
        <c:ser>
          <c:idx val="1"/>
          <c:order val="1"/>
          <c:tx>
            <c:strRef>
              <c:f>'Gráficos'!$L$53:$L$54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'Gráficos'!$L$55:$L$59</c:f>
              <c:numCache/>
            </c:numRef>
          </c:val>
        </c:ser>
        <c:ser>
          <c:idx val="2"/>
          <c:order val="2"/>
          <c:tx>
            <c:strRef>
              <c:f>'Gráficos'!$M$53:$M$54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'Gráficos'!$M$55:$M$59</c:f>
              <c:numCache/>
            </c:numRef>
          </c:val>
        </c:ser>
        <c:ser>
          <c:idx val="3"/>
          <c:order val="3"/>
          <c:tx>
            <c:strRef>
              <c:f>'Gráficos'!$N$53:$N$54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'Gráficos'!$J$55:$J$59</c:f>
            </c:strRef>
          </c:cat>
          <c:val>
            <c:numRef>
              <c:f>'Gráficos'!$N$55:$N$59</c:f>
              <c:numCache/>
            </c:numRef>
          </c:val>
        </c:ser>
        <c:axId val="1837311022"/>
        <c:axId val="1370034431"/>
      </c:barChart>
      <c:catAx>
        <c:axId val="1837311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70034431"/>
      </c:catAx>
      <c:valAx>
        <c:axId val="1370034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3110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'Gráficos'!$K$61:$K$62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'Gráficos'!$K$63:$K$67</c:f>
              <c:numCache/>
            </c:numRef>
          </c:val>
        </c:ser>
        <c:ser>
          <c:idx val="1"/>
          <c:order val="1"/>
          <c:tx>
            <c:strRef>
              <c:f>'Gráficos'!$L$61:$L$62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'Gráficos'!$L$63:$L$67</c:f>
              <c:numCache/>
            </c:numRef>
          </c:val>
        </c:ser>
        <c:ser>
          <c:idx val="2"/>
          <c:order val="2"/>
          <c:tx>
            <c:strRef>
              <c:f>'Gráficos'!$M$61:$M$62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'Gráficos'!$M$63:$M$67</c:f>
              <c:numCache/>
            </c:numRef>
          </c:val>
        </c:ser>
        <c:ser>
          <c:idx val="3"/>
          <c:order val="3"/>
          <c:tx>
            <c:strRef>
              <c:f>'Gráficos'!$N$61:$N$62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'Gráficos'!$J$63:$J$67</c:f>
            </c:strRef>
          </c:cat>
          <c:val>
            <c:numRef>
              <c:f>'Gráficos'!$N$63:$N$67</c:f>
              <c:numCache/>
            </c:numRef>
          </c:val>
        </c:ser>
        <c:axId val="183320848"/>
        <c:axId val="969719702"/>
      </c:barChart>
      <c:catAx>
        <c:axId val="18332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9719702"/>
      </c:catAx>
      <c:valAx>
        <c:axId val="9697197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208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'Gráficos'!$K$69:$K$70</c:f>
            </c:strRef>
          </c:tx>
          <c:cat>
            <c:strRef>
              <c:f>'Gráficos'!$J$71:$J$75</c:f>
            </c:strRef>
          </c:cat>
          <c:val>
            <c:numRef>
              <c:f>'Gráficos'!$K$71:$K$75</c:f>
              <c:numCache/>
            </c:numRef>
          </c:val>
        </c:ser>
        <c:ser>
          <c:idx val="1"/>
          <c:order val="1"/>
          <c:tx>
            <c:strRef>
              <c:f>'Gráficos'!$L$69:$L$70</c:f>
            </c:strRef>
          </c:tx>
          <c:cat>
            <c:strRef>
              <c:f>'Gráficos'!$J$71:$J$75</c:f>
            </c:strRef>
          </c:cat>
          <c:val>
            <c:numRef>
              <c:f>'Gráficos'!$L$71:$L$75</c:f>
              <c:numCache/>
            </c:numRef>
          </c:val>
        </c:ser>
        <c:ser>
          <c:idx val="2"/>
          <c:order val="2"/>
          <c:tx>
            <c:strRef>
              <c:f>'Gráficos'!$M$69:$M$70</c:f>
            </c:strRef>
          </c:tx>
          <c:cat>
            <c:strRef>
              <c:f>'Gráficos'!$J$71:$J$75</c:f>
            </c:strRef>
          </c:cat>
          <c:val>
            <c:numRef>
              <c:f>'Gráficos'!$M$71:$M$75</c:f>
              <c:numCache/>
            </c:numRef>
          </c:val>
        </c:ser>
        <c:ser>
          <c:idx val="3"/>
          <c:order val="3"/>
          <c:tx>
            <c:strRef>
              <c:f>'Gráficos'!$N$69:$N$70</c:f>
            </c:strRef>
          </c:tx>
          <c:cat>
            <c:strRef>
              <c:f>'Gráficos'!$J$71:$J$75</c:f>
            </c:strRef>
          </c:cat>
          <c:val>
            <c:numRef>
              <c:f>'Gráficos'!$N$71:$N$75</c:f>
              <c:numCache/>
            </c:numRef>
          </c:val>
        </c:ser>
        <c:axId val="402612761"/>
        <c:axId val="687570124"/>
      </c:barChart>
      <c:catAx>
        <c:axId val="402612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7570124"/>
      </c:catAx>
      <c:valAx>
        <c:axId val="68757012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0261276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'Gráficos'!$K$77:$K$78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'Gráficos'!$K$79:$K$83</c:f>
              <c:numCache/>
            </c:numRef>
          </c:val>
        </c:ser>
        <c:ser>
          <c:idx val="1"/>
          <c:order val="1"/>
          <c:tx>
            <c:strRef>
              <c:f>'Gráficos'!$L$77:$L$78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'Gráficos'!$L$79:$L$83</c:f>
              <c:numCache/>
            </c:numRef>
          </c:val>
        </c:ser>
        <c:ser>
          <c:idx val="2"/>
          <c:order val="2"/>
          <c:tx>
            <c:strRef>
              <c:f>'Gráficos'!$M$77:$M$78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'Gráficos'!$M$79:$M$83</c:f>
              <c:numCache/>
            </c:numRef>
          </c:val>
        </c:ser>
        <c:ser>
          <c:idx val="3"/>
          <c:order val="3"/>
          <c:tx>
            <c:strRef>
              <c:f>'Gráficos'!$N$77:$N$78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'Gráficos'!$J$79:$J$83</c:f>
            </c:strRef>
          </c:cat>
          <c:val>
            <c:numRef>
              <c:f>'Gráficos'!$N$79:$N$83</c:f>
              <c:numCache/>
            </c:numRef>
          </c:val>
        </c:ser>
        <c:axId val="1043919751"/>
        <c:axId val="492984932"/>
      </c:barChart>
      <c:catAx>
        <c:axId val="1043919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2984932"/>
      </c:catAx>
      <c:valAx>
        <c:axId val="492984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39197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'Gráficos'!$K$85:$K$86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'Gráficos'!$K$87:$K$91</c:f>
              <c:numCache/>
            </c:numRef>
          </c:val>
        </c:ser>
        <c:ser>
          <c:idx val="1"/>
          <c:order val="1"/>
          <c:tx>
            <c:strRef>
              <c:f>'Gráficos'!$L$85:$L$86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'Gráficos'!$L$87:$L$91</c:f>
              <c:numCache/>
            </c:numRef>
          </c:val>
        </c:ser>
        <c:ser>
          <c:idx val="2"/>
          <c:order val="2"/>
          <c:tx>
            <c:strRef>
              <c:f>'Gráficos'!$M$85:$M$86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'Gráficos'!$M$87:$M$91</c:f>
              <c:numCache/>
            </c:numRef>
          </c:val>
        </c:ser>
        <c:ser>
          <c:idx val="3"/>
          <c:order val="3"/>
          <c:tx>
            <c:strRef>
              <c:f>'Gráficos'!$N$85:$N$86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'Gráficos'!$J$87:$J$91</c:f>
            </c:strRef>
          </c:cat>
          <c:val>
            <c:numRef>
              <c:f>'Gráficos'!$N$87:$N$91</c:f>
              <c:numCache/>
            </c:numRef>
          </c:val>
        </c:ser>
        <c:axId val="1929463177"/>
        <c:axId val="1667717037"/>
      </c:barChart>
      <c:catAx>
        <c:axId val="1929463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67717037"/>
      </c:catAx>
      <c:valAx>
        <c:axId val="16677170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46317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'Gráficos'!$C$61:$C$62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'Gráficos'!$C$63:$C$67</c:f>
              <c:numCache/>
            </c:numRef>
          </c:val>
        </c:ser>
        <c:ser>
          <c:idx val="1"/>
          <c:order val="1"/>
          <c:tx>
            <c:strRef>
              <c:f>'Gráficos'!$D$61:$D$62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'Gráficos'!$D$63:$D$67</c:f>
              <c:numCache/>
            </c:numRef>
          </c:val>
        </c:ser>
        <c:ser>
          <c:idx val="2"/>
          <c:order val="2"/>
          <c:tx>
            <c:strRef>
              <c:f>'Gráficos'!$E$61:$E$62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'Gráficos'!$E$63:$E$67</c:f>
              <c:numCache/>
            </c:numRef>
          </c:val>
        </c:ser>
        <c:ser>
          <c:idx val="3"/>
          <c:order val="3"/>
          <c:tx>
            <c:strRef>
              <c:f>'Gráficos'!$F$61:$F$62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'Gráficos'!$B$63:$B$67</c:f>
            </c:strRef>
          </c:cat>
          <c:val>
            <c:numRef>
              <c:f>'Gráficos'!$F$63:$F$67</c:f>
              <c:numCache/>
            </c:numRef>
          </c:val>
        </c:ser>
        <c:axId val="1959584851"/>
        <c:axId val="1310647522"/>
      </c:barChart>
      <c:catAx>
        <c:axId val="1959584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0647522"/>
      </c:catAx>
      <c:valAx>
        <c:axId val="13106475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58485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Condutividade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'Gráficos'!$C$69:$C$70</c:f>
            </c:strRef>
          </c:tx>
          <c:cat>
            <c:strRef>
              <c:f>'Gráficos'!$B$71:$B$75</c:f>
            </c:strRef>
          </c:cat>
          <c:val>
            <c:numRef>
              <c:f>'Gráficos'!$C$71:$C$75</c:f>
              <c:numCache/>
            </c:numRef>
          </c:val>
        </c:ser>
        <c:ser>
          <c:idx val="1"/>
          <c:order val="1"/>
          <c:tx>
            <c:strRef>
              <c:f>'Gráficos'!$D$69:$D$70</c:f>
            </c:strRef>
          </c:tx>
          <c:cat>
            <c:strRef>
              <c:f>'Gráficos'!$B$71:$B$75</c:f>
            </c:strRef>
          </c:cat>
          <c:val>
            <c:numRef>
              <c:f>'Gráficos'!$D$71:$D$75</c:f>
              <c:numCache/>
            </c:numRef>
          </c:val>
        </c:ser>
        <c:ser>
          <c:idx val="2"/>
          <c:order val="2"/>
          <c:tx>
            <c:strRef>
              <c:f>'Gráficos'!$E$69:$E$70</c:f>
            </c:strRef>
          </c:tx>
          <c:cat>
            <c:strRef>
              <c:f>'Gráficos'!$B$71:$B$75</c:f>
            </c:strRef>
          </c:cat>
          <c:val>
            <c:numRef>
              <c:f>'Gráficos'!$E$71:$E$75</c:f>
              <c:numCache/>
            </c:numRef>
          </c:val>
        </c:ser>
        <c:ser>
          <c:idx val="3"/>
          <c:order val="3"/>
          <c:tx>
            <c:strRef>
              <c:f>'Gráficos'!$F$69:$F$70</c:f>
            </c:strRef>
          </c:tx>
          <c:cat>
            <c:strRef>
              <c:f>'Gráficos'!$B$71:$B$75</c:f>
            </c:strRef>
          </c:cat>
          <c:val>
            <c:numRef>
              <c:f>'Gráficos'!$F$71:$F$75</c:f>
              <c:numCache/>
            </c:numRef>
          </c:val>
        </c:ser>
        <c:axId val="1533599370"/>
        <c:axId val="1111458985"/>
      </c:barChart>
      <c:catAx>
        <c:axId val="153359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1458985"/>
      </c:catAx>
      <c:valAx>
        <c:axId val="11114589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335993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'Gráficos'!$C$77:$C$78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'Gráficos'!$C$79:$C$83</c:f>
              <c:numCache/>
            </c:numRef>
          </c:val>
        </c:ser>
        <c:ser>
          <c:idx val="1"/>
          <c:order val="1"/>
          <c:tx>
            <c:strRef>
              <c:f>'Gráficos'!$D$77:$D$78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'Gráficos'!$D$79:$D$83</c:f>
              <c:numCache/>
            </c:numRef>
          </c:val>
        </c:ser>
        <c:ser>
          <c:idx val="2"/>
          <c:order val="2"/>
          <c:tx>
            <c:strRef>
              <c:f>'Gráficos'!$E$77:$E$78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'Gráficos'!$E$79:$E$83</c:f>
              <c:numCache/>
            </c:numRef>
          </c:val>
        </c:ser>
        <c:ser>
          <c:idx val="3"/>
          <c:order val="3"/>
          <c:tx>
            <c:strRef>
              <c:f>'Gráficos'!$F$77:$F$78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'Gráficos'!$B$79:$B$83</c:f>
            </c:strRef>
          </c:cat>
          <c:val>
            <c:numRef>
              <c:f>'Gráficos'!$F$79:$F$83</c:f>
              <c:numCache/>
            </c:numRef>
          </c:val>
        </c:ser>
        <c:axId val="1998836079"/>
        <c:axId val="2022925799"/>
      </c:barChart>
      <c:catAx>
        <c:axId val="199883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2925799"/>
      </c:catAx>
      <c:valAx>
        <c:axId val="2022925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88360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'Gráficos'!$C$85:$C$86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'Gráficos'!$C$87:$C$91</c:f>
              <c:numCache/>
            </c:numRef>
          </c:val>
        </c:ser>
        <c:ser>
          <c:idx val="1"/>
          <c:order val="1"/>
          <c:tx>
            <c:strRef>
              <c:f>'Gráficos'!$D$85:$D$86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'Gráficos'!$D$87:$D$91</c:f>
              <c:numCache/>
            </c:numRef>
          </c:val>
        </c:ser>
        <c:ser>
          <c:idx val="2"/>
          <c:order val="2"/>
          <c:tx>
            <c:strRef>
              <c:f>'Gráficos'!$E$85:$E$86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'Gráficos'!$E$87:$E$91</c:f>
              <c:numCache/>
            </c:numRef>
          </c:val>
        </c:ser>
        <c:ser>
          <c:idx val="3"/>
          <c:order val="3"/>
          <c:tx>
            <c:strRef>
              <c:f>'Gráficos'!$F$85:$F$86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'Gráficos'!$B$87:$B$91</c:f>
            </c:strRef>
          </c:cat>
          <c:val>
            <c:numRef>
              <c:f>'Gráficos'!$F$87:$F$91</c:f>
              <c:numCache/>
            </c:numRef>
          </c:val>
        </c:ser>
        <c:axId val="448662266"/>
        <c:axId val="2025410818"/>
      </c:barChart>
      <c:catAx>
        <c:axId val="448662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DQO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5410818"/>
      </c:catAx>
      <c:valAx>
        <c:axId val="20254108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6622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Degradação de DQO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'Gráficos'!$C$44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'Gráficos'!$C$45:$C$49</c:f>
              <c:numCache/>
            </c:numRef>
          </c:val>
        </c:ser>
        <c:ser>
          <c:idx val="1"/>
          <c:order val="1"/>
          <c:tx>
            <c:strRef>
              <c:f>'Gráficos'!$D$44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'Gráficos'!$D$45:$D$49</c:f>
              <c:numCache/>
            </c:numRef>
          </c:val>
        </c:ser>
        <c:ser>
          <c:idx val="2"/>
          <c:order val="2"/>
          <c:tx>
            <c:strRef>
              <c:f>'Gráficos'!$E$44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'Gráficos'!$E$45:$E$49</c:f>
              <c:numCache/>
            </c:numRef>
          </c:val>
        </c:ser>
        <c:ser>
          <c:idx val="3"/>
          <c:order val="3"/>
          <c:tx>
            <c:strRef>
              <c:f>'Gráficos'!$F$44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'Gráficos'!$B$45:$B$49</c:f>
            </c:strRef>
          </c:cat>
          <c:val>
            <c:numRef>
              <c:f>'Gráficos'!$F$45:$F$49</c:f>
              <c:numCache/>
            </c:numRef>
          </c:val>
        </c:ser>
        <c:axId val="1146811681"/>
        <c:axId val="347475628"/>
      </c:barChart>
      <c:catAx>
        <c:axId val="1146811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7475628"/>
      </c:catAx>
      <c:valAx>
        <c:axId val="3474756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8116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'Gráficos'!$J$4:$J$8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'Gráficos'!$K$2:$K$8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'Gráficos'!$I$4:$I$8</c:f>
            </c:strRef>
          </c:cat>
          <c:val>
            <c:numRef>
              <c:f>'Gráficos'!$L$2:$L$8</c:f>
              <c:numCache/>
            </c:numRef>
          </c:val>
        </c:ser>
        <c:axId val="1262244592"/>
        <c:axId val="794861430"/>
      </c:barChart>
      <c:catAx>
        <c:axId val="126224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4861430"/>
      </c:catAx>
      <c:valAx>
        <c:axId val="7948614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2445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'Gráficos'!$J$12:$J$16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'Gráficos'!$K$10:$K$16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'Gráficos'!$I$12:$I$16</c:f>
            </c:strRef>
          </c:cat>
          <c:val>
            <c:numRef>
              <c:f>'Gráficos'!$L$10:$L$16</c:f>
              <c:numCache/>
            </c:numRef>
          </c:val>
        </c:ser>
        <c:axId val="1153427893"/>
        <c:axId val="289118420"/>
      </c:barChart>
      <c:catAx>
        <c:axId val="1153427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9118420"/>
      </c:catAx>
      <c:valAx>
        <c:axId val="2891184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4278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'Gráficos'!$J$28:$J$32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'Gráficos'!$K$26:$K$32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'Gráficos'!$I$28:$I$32</c:f>
            </c:strRef>
          </c:cat>
          <c:val>
            <c:numRef>
              <c:f>'Gráficos'!$L$26:$L$32</c:f>
              <c:numCache/>
            </c:numRef>
          </c:val>
        </c:ser>
        <c:axId val="2112272640"/>
        <c:axId val="1249914725"/>
      </c:barChart>
      <c:catAx>
        <c:axId val="211227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9914725"/>
      </c:catAx>
      <c:valAx>
        <c:axId val="1249914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122726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'Gráficos'!$Q$4:$Q$8</c:f>
            </c:strRef>
          </c:cat>
          <c:val>
            <c:numRef>
              <c:f>'Gráficos'!$R$4:$R$8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'Gráficos'!$Q$4:$Q$8</c:f>
            </c:strRef>
          </c:cat>
          <c:val>
            <c:numRef>
              <c:f>'Gráficos'!$S$2:$S$8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'Gráficos'!$Q$4:$Q$8</c:f>
            </c:strRef>
          </c:cat>
          <c:val>
            <c:numRef>
              <c:f>'Gráficos'!$T$2:$T$8</c:f>
              <c:numCache/>
            </c:numRef>
          </c:val>
        </c:ser>
        <c:axId val="1280342148"/>
        <c:axId val="868685408"/>
      </c:barChart>
      <c:catAx>
        <c:axId val="1280342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8685408"/>
      </c:catAx>
      <c:valAx>
        <c:axId val="868685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3421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'Gráficos'!$R$12:$R$16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'Gráficos'!$S$10:$S$16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'Gráficos'!$Q$12:$Q$16</c:f>
            </c:strRef>
          </c:cat>
          <c:val>
            <c:numRef>
              <c:f>'Gráficos'!$T$10:$T$16</c:f>
              <c:numCache/>
            </c:numRef>
          </c:val>
        </c:ser>
        <c:axId val="1184323500"/>
        <c:axId val="509057900"/>
      </c:barChart>
      <c:catAx>
        <c:axId val="1184323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9057900"/>
      </c:catAx>
      <c:valAx>
        <c:axId val="5090579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3235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'Gráficos'!$R$28:$R$32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'Gráficos'!$S$26:$S$32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'Gráficos'!$Q$28:$Q$32</c:f>
            </c:strRef>
          </c:cat>
          <c:val>
            <c:numRef>
              <c:f>'Gráficos'!$T$26:$T$32</c:f>
              <c:numCache/>
            </c:numRef>
          </c:val>
        </c:ser>
        <c:axId val="533263859"/>
        <c:axId val="881364470"/>
      </c:barChart>
      <c:catAx>
        <c:axId val="533263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1364470"/>
      </c:catAx>
      <c:valAx>
        <c:axId val="881364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32638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'Gráficos'!$Z$4:$Z$8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'Gráficos'!$AA$2:$AA$8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'Gráficos'!$Y$4:$Y$8</c:f>
            </c:strRef>
          </c:cat>
          <c:val>
            <c:numRef>
              <c:f>'Gráficos'!$AB$2:$AB$8</c:f>
              <c:numCache/>
            </c:numRef>
          </c:val>
        </c:ser>
        <c:axId val="1647621767"/>
        <c:axId val="952877658"/>
      </c:barChart>
      <c:catAx>
        <c:axId val="1647621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2877658"/>
      </c:catAx>
      <c:valAx>
        <c:axId val="952877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6217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TURBIDEZ (NTU)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'Gráficos'!$Z$12:$Z$16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'Gráficos'!$AA$10:$AA$16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'Gráficos'!$Y$12:$Y$16</c:f>
            </c:strRef>
          </c:cat>
          <c:val>
            <c:numRef>
              <c:f>'Gráficos'!$AB$10:$AB$16</c:f>
              <c:numCache/>
            </c:numRef>
          </c:val>
        </c:ser>
        <c:axId val="324428597"/>
        <c:axId val="884360535"/>
      </c:barChart>
      <c:catAx>
        <c:axId val="324428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4360535"/>
      </c:catAx>
      <c:valAx>
        <c:axId val="8843605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42859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Dia 0</c:v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'Gráficos'!$Z$28:$Z$32</c:f>
              <c:numCache/>
            </c:numRef>
          </c:val>
        </c:ser>
        <c:ser>
          <c:idx val="1"/>
          <c:order val="1"/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'Gráficos'!$AA$26:$AA$32</c:f>
              <c:numCache/>
            </c:numRef>
          </c:val>
        </c:ser>
        <c:ser>
          <c:idx val="2"/>
          <c:order val="2"/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cat>
            <c:strRef>
              <c:f>'Gráficos'!$Y$28:$Y$32</c:f>
            </c:strRef>
          </c:cat>
          <c:val>
            <c:numRef>
              <c:f>'Gráficos'!$AB$26:$AB$32</c:f>
              <c:numCache/>
            </c:numRef>
          </c:val>
        </c:ser>
        <c:axId val="176735594"/>
        <c:axId val="1449246407"/>
      </c:barChart>
      <c:catAx>
        <c:axId val="176735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49246407"/>
      </c:catAx>
      <c:valAx>
        <c:axId val="1449246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67355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5" Type="http://schemas.openxmlformats.org/officeDocument/2006/relationships/chart" Target="../charts/chart25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9525</xdr:rowOff>
    </xdr:from>
    <xdr:ext cx="2114550" cy="1295400"/>
    <xdr:graphicFrame>
      <xdr:nvGraphicFramePr>
        <xdr:cNvPr id="108003411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9</xdr:row>
      <xdr:rowOff>9525</xdr:rowOff>
    </xdr:from>
    <xdr:ext cx="2314575" cy="1428750"/>
    <xdr:graphicFrame>
      <xdr:nvGraphicFramePr>
        <xdr:cNvPr id="58507392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16</xdr:row>
      <xdr:rowOff>161925</xdr:rowOff>
    </xdr:from>
    <xdr:ext cx="2314575" cy="1428750"/>
    <xdr:graphicFrame>
      <xdr:nvGraphicFramePr>
        <xdr:cNvPr id="155800551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152400</xdr:colOff>
      <xdr:row>24</xdr:row>
      <xdr:rowOff>171450</xdr:rowOff>
    </xdr:from>
    <xdr:ext cx="2114550" cy="1295400"/>
    <xdr:graphicFrame>
      <xdr:nvGraphicFramePr>
        <xdr:cNvPr id="59613703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152400</xdr:colOff>
      <xdr:row>32</xdr:row>
      <xdr:rowOff>171450</xdr:rowOff>
    </xdr:from>
    <xdr:ext cx="2181225" cy="1343025"/>
    <xdr:graphicFrame>
      <xdr:nvGraphicFramePr>
        <xdr:cNvPr id="59457047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276225</xdr:colOff>
      <xdr:row>51</xdr:row>
      <xdr:rowOff>171450</xdr:rowOff>
    </xdr:from>
    <xdr:ext cx="2114550" cy="1343025"/>
    <xdr:graphicFrame>
      <xdr:nvGraphicFramePr>
        <xdr:cNvPr id="655057681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247650</xdr:colOff>
      <xdr:row>51</xdr:row>
      <xdr:rowOff>171450</xdr:rowOff>
    </xdr:from>
    <xdr:ext cx="2181225" cy="1343025"/>
    <xdr:graphicFrame>
      <xdr:nvGraphicFramePr>
        <xdr:cNvPr id="1790584690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14</xdr:col>
      <xdr:colOff>247650</xdr:colOff>
      <xdr:row>59</xdr:row>
      <xdr:rowOff>180975</xdr:rowOff>
    </xdr:from>
    <xdr:ext cx="2190750" cy="1343025"/>
    <xdr:graphicFrame>
      <xdr:nvGraphicFramePr>
        <xdr:cNvPr id="64935786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247650</xdr:colOff>
      <xdr:row>68</xdr:row>
      <xdr:rowOff>0</xdr:rowOff>
    </xdr:from>
    <xdr:ext cx="2114550" cy="1295400"/>
    <xdr:graphicFrame>
      <xdr:nvGraphicFramePr>
        <xdr:cNvPr id="1587095075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14</xdr:col>
      <xdr:colOff>247650</xdr:colOff>
      <xdr:row>75</xdr:row>
      <xdr:rowOff>180975</xdr:rowOff>
    </xdr:from>
    <xdr:ext cx="2190750" cy="1343025"/>
    <xdr:graphicFrame>
      <xdr:nvGraphicFramePr>
        <xdr:cNvPr id="88912893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247650</xdr:colOff>
      <xdr:row>83</xdr:row>
      <xdr:rowOff>161925</xdr:rowOff>
    </xdr:from>
    <xdr:ext cx="2181225" cy="1343025"/>
    <xdr:graphicFrame>
      <xdr:nvGraphicFramePr>
        <xdr:cNvPr id="723272659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276225</xdr:colOff>
      <xdr:row>59</xdr:row>
      <xdr:rowOff>180975</xdr:rowOff>
    </xdr:from>
    <xdr:ext cx="2181225" cy="1343025"/>
    <xdr:graphicFrame>
      <xdr:nvGraphicFramePr>
        <xdr:cNvPr id="1403351436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6</xdr:col>
      <xdr:colOff>276225</xdr:colOff>
      <xdr:row>68</xdr:row>
      <xdr:rowOff>19050</xdr:rowOff>
    </xdr:from>
    <xdr:ext cx="2076450" cy="1295400"/>
    <xdr:graphicFrame>
      <xdr:nvGraphicFramePr>
        <xdr:cNvPr id="108372337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276225</xdr:colOff>
      <xdr:row>75</xdr:row>
      <xdr:rowOff>180975</xdr:rowOff>
    </xdr:from>
    <xdr:ext cx="2181225" cy="1343025"/>
    <xdr:graphicFrame>
      <xdr:nvGraphicFramePr>
        <xdr:cNvPr id="1599971982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</xdr:col>
      <xdr:colOff>276225</xdr:colOff>
      <xdr:row>84</xdr:row>
      <xdr:rowOff>9525</xdr:rowOff>
    </xdr:from>
    <xdr:ext cx="2114550" cy="1295400"/>
    <xdr:graphicFrame>
      <xdr:nvGraphicFramePr>
        <xdr:cNvPr id="1144166884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6</xdr:col>
      <xdr:colOff>152400</xdr:colOff>
      <xdr:row>42</xdr:row>
      <xdr:rowOff>9525</xdr:rowOff>
    </xdr:from>
    <xdr:ext cx="2038350" cy="1295400"/>
    <xdr:graphicFrame>
      <xdr:nvGraphicFramePr>
        <xdr:cNvPr id="1139653054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12</xdr:col>
      <xdr:colOff>447675</xdr:colOff>
      <xdr:row>1</xdr:row>
      <xdr:rowOff>9525</xdr:rowOff>
    </xdr:from>
    <xdr:ext cx="2076450" cy="1295400"/>
    <xdr:graphicFrame>
      <xdr:nvGraphicFramePr>
        <xdr:cNvPr id="1025861000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12</xdr:col>
      <xdr:colOff>447675</xdr:colOff>
      <xdr:row>9</xdr:row>
      <xdr:rowOff>9525</xdr:rowOff>
    </xdr:from>
    <xdr:ext cx="2314575" cy="1428750"/>
    <xdr:graphicFrame>
      <xdr:nvGraphicFramePr>
        <xdr:cNvPr id="1767555506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12</xdr:col>
      <xdr:colOff>447675</xdr:colOff>
      <xdr:row>24</xdr:row>
      <xdr:rowOff>171450</xdr:rowOff>
    </xdr:from>
    <xdr:ext cx="2181225" cy="1343025"/>
    <xdr:graphicFrame>
      <xdr:nvGraphicFramePr>
        <xdr:cNvPr id="198121823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0</xdr:rowOff>
    </xdr:from>
    <xdr:ext cx="2181225" cy="1343025"/>
    <xdr:graphicFrame>
      <xdr:nvGraphicFramePr>
        <xdr:cNvPr id="633358564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21</xdr:col>
      <xdr:colOff>0</xdr:colOff>
      <xdr:row>9</xdr:row>
      <xdr:rowOff>9525</xdr:rowOff>
    </xdr:from>
    <xdr:ext cx="2314575" cy="1428750"/>
    <xdr:graphicFrame>
      <xdr:nvGraphicFramePr>
        <xdr:cNvPr id="1777941079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21</xdr:col>
      <xdr:colOff>0</xdr:colOff>
      <xdr:row>25</xdr:row>
      <xdr:rowOff>0</xdr:rowOff>
    </xdr:from>
    <xdr:ext cx="2181225" cy="1343025"/>
    <xdr:graphicFrame>
      <xdr:nvGraphicFramePr>
        <xdr:cNvPr id="1339484869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29</xdr:col>
      <xdr:colOff>0</xdr:colOff>
      <xdr:row>0</xdr:row>
      <xdr:rowOff>0</xdr:rowOff>
    </xdr:from>
    <xdr:ext cx="2190750" cy="1343025"/>
    <xdr:graphicFrame>
      <xdr:nvGraphicFramePr>
        <xdr:cNvPr id="13236166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29</xdr:col>
      <xdr:colOff>0</xdr:colOff>
      <xdr:row>8</xdr:row>
      <xdr:rowOff>152400</xdr:rowOff>
    </xdr:from>
    <xdr:ext cx="2390775" cy="1476375"/>
    <xdr:graphicFrame>
      <xdr:nvGraphicFramePr>
        <xdr:cNvPr id="155358478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29</xdr:col>
      <xdr:colOff>0</xdr:colOff>
      <xdr:row>25</xdr:row>
      <xdr:rowOff>0</xdr:rowOff>
    </xdr:from>
    <xdr:ext cx="2114550" cy="1343025"/>
    <xdr:graphicFrame>
      <xdr:nvGraphicFramePr>
        <xdr:cNvPr id="157461421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0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8"/>
      <c r="O2" s="8"/>
      <c r="P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9</v>
      </c>
      <c r="J3" s="14" t="s">
        <v>10</v>
      </c>
      <c r="K3" s="15" t="s">
        <v>11</v>
      </c>
      <c r="L3" s="15" t="s">
        <v>8</v>
      </c>
      <c r="M3" s="16" t="s">
        <v>12</v>
      </c>
      <c r="N3" s="8"/>
      <c r="O3" s="8"/>
      <c r="P3" s="8"/>
    </row>
    <row r="4" ht="15.75" customHeight="1">
      <c r="B4" s="17" t="s">
        <v>13</v>
      </c>
      <c r="C4" s="18">
        <v>0.0</v>
      </c>
      <c r="D4" s="19">
        <v>5.87</v>
      </c>
      <c r="E4" s="19">
        <v>0.86</v>
      </c>
      <c r="F4" s="19">
        <v>11.83</v>
      </c>
      <c r="G4" s="19">
        <v>0.0</v>
      </c>
      <c r="H4" s="20">
        <f>G4</f>
        <v>0</v>
      </c>
      <c r="I4" s="21">
        <v>0.006</v>
      </c>
      <c r="J4" s="22">
        <v>0.004</v>
      </c>
      <c r="K4" s="23">
        <f t="shared" ref="K4:K8" si="1">AVERAGE(I4:J4)</f>
        <v>0.005</v>
      </c>
      <c r="L4" s="23">
        <f>K4</f>
        <v>0.005</v>
      </c>
      <c r="M4" s="24">
        <f t="shared" ref="M4:M8" si="2">(2349.6*L4) - 3.893</f>
        <v>7.855</v>
      </c>
      <c r="N4" s="8"/>
      <c r="O4" s="8"/>
      <c r="P4" s="8"/>
    </row>
    <row r="5" ht="15.75" customHeight="1">
      <c r="B5" s="25"/>
      <c r="C5" s="26">
        <v>25.0</v>
      </c>
      <c r="D5" s="19">
        <v>9.15</v>
      </c>
      <c r="E5" s="19">
        <v>56.2</v>
      </c>
      <c r="F5" s="19">
        <v>5.92</v>
      </c>
      <c r="G5" s="19">
        <v>312.0</v>
      </c>
      <c r="H5" s="20">
        <f>G5*5</f>
        <v>1560</v>
      </c>
      <c r="I5" s="21">
        <v>0.121</v>
      </c>
      <c r="J5" s="22">
        <v>0.137</v>
      </c>
      <c r="K5" s="23">
        <f t="shared" si="1"/>
        <v>0.129</v>
      </c>
      <c r="L5" s="23">
        <f>K5*5</f>
        <v>0.645</v>
      </c>
      <c r="M5" s="24">
        <f t="shared" si="2"/>
        <v>1511.599</v>
      </c>
      <c r="N5" s="8"/>
      <c r="O5" s="8"/>
      <c r="P5" s="8"/>
    </row>
    <row r="6" ht="15.75" customHeight="1">
      <c r="B6" s="25"/>
      <c r="C6" s="26">
        <v>50.0</v>
      </c>
      <c r="D6" s="27">
        <v>9.24</v>
      </c>
      <c r="E6" s="27">
        <v>106.0</v>
      </c>
      <c r="F6" s="27">
        <v>10.78</v>
      </c>
      <c r="G6" s="27">
        <v>298.0</v>
      </c>
      <c r="H6" s="20">
        <f>G6*10</f>
        <v>2980</v>
      </c>
      <c r="I6" s="21">
        <v>0.135</v>
      </c>
      <c r="J6" s="22">
        <v>0.122</v>
      </c>
      <c r="K6" s="23">
        <f t="shared" si="1"/>
        <v>0.1285</v>
      </c>
      <c r="L6" s="23">
        <f>K6*10</f>
        <v>1.285</v>
      </c>
      <c r="M6" s="24">
        <f t="shared" si="2"/>
        <v>3015.343</v>
      </c>
      <c r="N6" s="8"/>
      <c r="O6" s="8"/>
      <c r="P6" s="8"/>
    </row>
    <row r="7" ht="15.75" customHeight="1">
      <c r="B7" s="25"/>
      <c r="C7" s="26">
        <v>75.0</v>
      </c>
      <c r="D7" s="27">
        <v>9.26</v>
      </c>
      <c r="E7" s="27">
        <v>108.0</v>
      </c>
      <c r="F7" s="27">
        <v>15.2</v>
      </c>
      <c r="G7" s="27">
        <v>212.0</v>
      </c>
      <c r="H7" s="20">
        <f t="shared" ref="H7:H8" si="3">G7*20</f>
        <v>4240</v>
      </c>
      <c r="I7" s="22">
        <v>0.083</v>
      </c>
      <c r="J7" s="22">
        <v>0.084</v>
      </c>
      <c r="K7" s="23">
        <f t="shared" si="1"/>
        <v>0.0835</v>
      </c>
      <c r="L7" s="23">
        <f t="shared" ref="L7:L8" si="4">K7*20</f>
        <v>1.67</v>
      </c>
      <c r="M7" s="24">
        <f t="shared" si="2"/>
        <v>3919.939</v>
      </c>
      <c r="N7" s="8"/>
      <c r="O7" s="8"/>
      <c r="P7" s="8"/>
    </row>
    <row r="8" ht="15.75" customHeight="1">
      <c r="B8" s="10"/>
      <c r="C8" s="28">
        <v>100.0</v>
      </c>
      <c r="D8" s="27">
        <v>9.27</v>
      </c>
      <c r="E8" s="27">
        <v>152.0</v>
      </c>
      <c r="F8" s="27">
        <v>19.67</v>
      </c>
      <c r="G8" s="27">
        <v>289.0</v>
      </c>
      <c r="H8" s="20">
        <f t="shared" si="3"/>
        <v>5780</v>
      </c>
      <c r="I8" s="22">
        <v>0.109</v>
      </c>
      <c r="J8" s="22">
        <v>0.112</v>
      </c>
      <c r="K8" s="23">
        <f t="shared" si="1"/>
        <v>0.1105</v>
      </c>
      <c r="L8" s="23">
        <f t="shared" si="4"/>
        <v>2.21</v>
      </c>
      <c r="M8" s="24">
        <f t="shared" si="2"/>
        <v>5188.723</v>
      </c>
      <c r="N8" s="8"/>
      <c r="O8" s="8"/>
      <c r="P8" s="8"/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  <c r="N9" s="8"/>
      <c r="O9" s="8"/>
      <c r="P9" s="8"/>
    </row>
    <row r="10" ht="15.75" customHeight="1">
      <c r="B10" s="31" t="s">
        <v>14</v>
      </c>
      <c r="C10" s="26">
        <v>0.0</v>
      </c>
      <c r="D10" s="19">
        <v>5.87</v>
      </c>
      <c r="E10" s="19">
        <v>0.86</v>
      </c>
      <c r="F10" s="19">
        <v>11.83</v>
      </c>
      <c r="G10" s="19">
        <v>0.0</v>
      </c>
      <c r="H10" s="20">
        <f>G10</f>
        <v>0</v>
      </c>
      <c r="I10" s="21">
        <v>0.006</v>
      </c>
      <c r="J10" s="22">
        <v>0.004</v>
      </c>
      <c r="K10" s="23">
        <f t="shared" ref="K10:K14" si="5">AVERAGE(I10:J10)</f>
        <v>0.005</v>
      </c>
      <c r="L10" s="23">
        <f>K10</f>
        <v>0.005</v>
      </c>
      <c r="M10" s="24">
        <f t="shared" ref="M10:M14" si="6">(2349.6*L10) - 3.893</f>
        <v>7.855</v>
      </c>
      <c r="N10" s="8"/>
      <c r="O10" s="8"/>
      <c r="P10" s="8"/>
    </row>
    <row r="11" ht="15.75" customHeight="1">
      <c r="B11" s="25"/>
      <c r="C11" s="26">
        <v>25.0</v>
      </c>
      <c r="D11" s="19">
        <v>9.15</v>
      </c>
      <c r="E11" s="19">
        <v>56.2</v>
      </c>
      <c r="F11" s="19">
        <v>5.92</v>
      </c>
      <c r="G11" s="19">
        <v>312.0</v>
      </c>
      <c r="H11" s="20">
        <f>G11*5</f>
        <v>1560</v>
      </c>
      <c r="I11" s="21">
        <v>0.121</v>
      </c>
      <c r="J11" s="22">
        <v>0.137</v>
      </c>
      <c r="K11" s="23">
        <f t="shared" si="5"/>
        <v>0.129</v>
      </c>
      <c r="L11" s="23">
        <f>K11*5</f>
        <v>0.645</v>
      </c>
      <c r="M11" s="24">
        <f t="shared" si="6"/>
        <v>1511.599</v>
      </c>
    </row>
    <row r="12" ht="15.75" customHeight="1">
      <c r="B12" s="25"/>
      <c r="C12" s="26">
        <v>50.0</v>
      </c>
      <c r="D12" s="27">
        <v>9.24</v>
      </c>
      <c r="E12" s="27">
        <v>106.0</v>
      </c>
      <c r="F12" s="27">
        <v>10.78</v>
      </c>
      <c r="G12" s="27">
        <v>298.0</v>
      </c>
      <c r="H12" s="20">
        <f>G12*10</f>
        <v>2980</v>
      </c>
      <c r="I12" s="21">
        <v>0.135</v>
      </c>
      <c r="J12" s="22">
        <v>0.122</v>
      </c>
      <c r="K12" s="23">
        <f t="shared" si="5"/>
        <v>0.1285</v>
      </c>
      <c r="L12" s="23">
        <f>K12*10</f>
        <v>1.285</v>
      </c>
      <c r="M12" s="24">
        <f t="shared" si="6"/>
        <v>3015.343</v>
      </c>
    </row>
    <row r="13" ht="15.75" customHeight="1">
      <c r="B13" s="25"/>
      <c r="C13" s="26">
        <v>75.0</v>
      </c>
      <c r="D13" s="27">
        <v>9.26</v>
      </c>
      <c r="E13" s="27">
        <v>108.0</v>
      </c>
      <c r="F13" s="27">
        <v>15.2</v>
      </c>
      <c r="G13" s="27">
        <v>212.0</v>
      </c>
      <c r="H13" s="20">
        <f t="shared" ref="H13:H14" si="7">G13*20</f>
        <v>4240</v>
      </c>
      <c r="I13" s="22">
        <v>0.083</v>
      </c>
      <c r="J13" s="22">
        <v>0.084</v>
      </c>
      <c r="K13" s="23">
        <f t="shared" si="5"/>
        <v>0.0835</v>
      </c>
      <c r="L13" s="23">
        <f t="shared" ref="L13:L14" si="8">K13*20</f>
        <v>1.67</v>
      </c>
      <c r="M13" s="24">
        <f t="shared" si="6"/>
        <v>3919.939</v>
      </c>
    </row>
    <row r="14" ht="15.75" customHeight="1">
      <c r="B14" s="10"/>
      <c r="C14" s="28">
        <v>100.0</v>
      </c>
      <c r="D14" s="27">
        <v>9.27</v>
      </c>
      <c r="E14" s="27">
        <v>152.0</v>
      </c>
      <c r="F14" s="27">
        <v>19.67</v>
      </c>
      <c r="G14" s="27">
        <v>289.0</v>
      </c>
      <c r="H14" s="20">
        <f t="shared" si="7"/>
        <v>5780</v>
      </c>
      <c r="I14" s="22">
        <v>0.109</v>
      </c>
      <c r="J14" s="22">
        <v>0.112</v>
      </c>
      <c r="K14" s="23">
        <f t="shared" si="5"/>
        <v>0.1105</v>
      </c>
      <c r="L14" s="23">
        <f t="shared" si="8"/>
        <v>2.21</v>
      </c>
      <c r="M14" s="24">
        <f t="shared" si="6"/>
        <v>5188.723</v>
      </c>
    </row>
    <row r="15" ht="15.75" customHeight="1">
      <c r="B15" s="32"/>
      <c r="C15" s="10"/>
      <c r="D15" s="29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5.87</v>
      </c>
      <c r="E16" s="27">
        <v>0.86</v>
      </c>
      <c r="F16" s="27">
        <v>11.83</v>
      </c>
      <c r="G16" s="19">
        <v>0.0</v>
      </c>
      <c r="H16" s="20">
        <f>G16</f>
        <v>0</v>
      </c>
      <c r="I16" s="21">
        <v>0.006</v>
      </c>
      <c r="J16" s="22">
        <v>0.004</v>
      </c>
      <c r="K16" s="23">
        <f t="shared" ref="K16:K20" si="9">AVERAGE(I16:J16)</f>
        <v>0.005</v>
      </c>
      <c r="L16" s="23">
        <f>K16</f>
        <v>0.005</v>
      </c>
      <c r="M16" s="24">
        <f t="shared" ref="M16:M20" si="10">(2349.6*L16) - 3.893</f>
        <v>7.855</v>
      </c>
    </row>
    <row r="17" ht="15.75" customHeight="1">
      <c r="B17" s="25"/>
      <c r="C17" s="26">
        <v>25.0</v>
      </c>
      <c r="D17" s="27">
        <v>8.33</v>
      </c>
      <c r="E17" s="27">
        <v>26.2</v>
      </c>
      <c r="F17" s="27">
        <v>7.48</v>
      </c>
      <c r="G17" s="19">
        <v>263.0</v>
      </c>
      <c r="H17" s="34">
        <f>G17*5</f>
        <v>1315</v>
      </c>
      <c r="I17" s="22">
        <v>0.136</v>
      </c>
      <c r="J17" s="22">
        <v>0.139</v>
      </c>
      <c r="K17" s="23">
        <f t="shared" si="9"/>
        <v>0.1375</v>
      </c>
      <c r="L17" s="23">
        <f>K17*5</f>
        <v>0.6875</v>
      </c>
      <c r="M17" s="24">
        <f t="shared" si="10"/>
        <v>1611.457</v>
      </c>
    </row>
    <row r="18" ht="15.75" customHeight="1">
      <c r="B18" s="25"/>
      <c r="C18" s="26">
        <v>50.0</v>
      </c>
      <c r="D18" s="27">
        <v>8.31</v>
      </c>
      <c r="E18" s="27">
        <v>41.8</v>
      </c>
      <c r="F18" s="27">
        <v>13.65</v>
      </c>
      <c r="G18" s="27">
        <v>238.0</v>
      </c>
      <c r="H18" s="34">
        <f>G18*10</f>
        <v>2380</v>
      </c>
      <c r="I18" s="22">
        <v>0.121</v>
      </c>
      <c r="J18" s="22">
        <v>0.133</v>
      </c>
      <c r="K18" s="23">
        <f t="shared" si="9"/>
        <v>0.127</v>
      </c>
      <c r="L18" s="23">
        <f>K18*10</f>
        <v>1.27</v>
      </c>
      <c r="M18" s="24">
        <f t="shared" si="10"/>
        <v>2980.099</v>
      </c>
    </row>
    <row r="19" ht="15.75" customHeight="1">
      <c r="B19" s="25"/>
      <c r="C19" s="26">
        <v>75.0</v>
      </c>
      <c r="D19" s="27">
        <v>8.34</v>
      </c>
      <c r="E19" s="27">
        <v>62.7</v>
      </c>
      <c r="F19" s="27">
        <v>19.62</v>
      </c>
      <c r="G19" s="27">
        <v>183.0</v>
      </c>
      <c r="H19" s="34">
        <f t="shared" ref="H19:H20" si="11">G19*20</f>
        <v>3660</v>
      </c>
      <c r="I19" s="22">
        <v>0.1</v>
      </c>
      <c r="J19" s="22">
        <v>0.094</v>
      </c>
      <c r="K19" s="23">
        <f t="shared" si="9"/>
        <v>0.097</v>
      </c>
      <c r="L19" s="23">
        <f t="shared" ref="L19:L20" si="12">K19*20</f>
        <v>1.94</v>
      </c>
      <c r="M19" s="24">
        <f t="shared" si="10"/>
        <v>4554.331</v>
      </c>
    </row>
    <row r="20" ht="15.75" customHeight="1">
      <c r="B20" s="10"/>
      <c r="C20" s="28">
        <v>100.0</v>
      </c>
      <c r="D20" s="27">
        <v>8.21</v>
      </c>
      <c r="E20" s="27">
        <v>77.8</v>
      </c>
      <c r="F20" s="27">
        <v>24.94</v>
      </c>
      <c r="G20" s="27">
        <v>258.0</v>
      </c>
      <c r="H20" s="34">
        <f t="shared" si="11"/>
        <v>5160</v>
      </c>
      <c r="I20" s="22">
        <v>0.125</v>
      </c>
      <c r="J20" s="22">
        <v>0.139</v>
      </c>
      <c r="K20" s="23">
        <f t="shared" si="9"/>
        <v>0.132</v>
      </c>
      <c r="L20" s="23">
        <f t="shared" si="12"/>
        <v>2.64</v>
      </c>
      <c r="M20" s="24">
        <f t="shared" si="10"/>
        <v>6199.051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35" t="s">
        <v>16</v>
      </c>
      <c r="C22" s="26">
        <v>0.0</v>
      </c>
      <c r="D22" s="27">
        <v>5.87</v>
      </c>
      <c r="E22" s="27">
        <v>0.86</v>
      </c>
      <c r="F22" s="27">
        <v>11.83</v>
      </c>
      <c r="G22" s="19">
        <v>0.0</v>
      </c>
      <c r="H22" s="20">
        <f>G22</f>
        <v>0</v>
      </c>
      <c r="I22" s="21">
        <v>0.006</v>
      </c>
      <c r="J22" s="22">
        <v>0.004</v>
      </c>
      <c r="K22" s="23">
        <f t="shared" ref="K22:K26" si="13">AVERAGE(I22:J22)</f>
        <v>0.005</v>
      </c>
      <c r="L22" s="23">
        <f>K22</f>
        <v>0.005</v>
      </c>
      <c r="M22" s="24">
        <f t="shared" ref="M22:M26" si="14">(2349.6*L22) - 3.893</f>
        <v>7.855</v>
      </c>
    </row>
    <row r="23" ht="15.75" customHeight="1">
      <c r="B23" s="25"/>
      <c r="C23" s="26">
        <v>25.0</v>
      </c>
      <c r="D23" s="27">
        <v>8.33</v>
      </c>
      <c r="E23" s="27">
        <v>26.2</v>
      </c>
      <c r="F23" s="27">
        <v>7.48</v>
      </c>
      <c r="G23" s="19">
        <v>263.0</v>
      </c>
      <c r="H23" s="34">
        <f>G23*5</f>
        <v>1315</v>
      </c>
      <c r="I23" s="22">
        <v>0.136</v>
      </c>
      <c r="J23" s="22">
        <v>0.139</v>
      </c>
      <c r="K23" s="23">
        <f t="shared" si="13"/>
        <v>0.1375</v>
      </c>
      <c r="L23" s="23">
        <f>K23*5</f>
        <v>0.6875</v>
      </c>
      <c r="M23" s="24">
        <f t="shared" si="14"/>
        <v>1611.457</v>
      </c>
    </row>
    <row r="24" ht="15.75" customHeight="1">
      <c r="B24" s="25"/>
      <c r="C24" s="26">
        <v>50.0</v>
      </c>
      <c r="D24" s="27">
        <v>8.31</v>
      </c>
      <c r="E24" s="27">
        <v>41.8</v>
      </c>
      <c r="F24" s="27">
        <v>13.65</v>
      </c>
      <c r="G24" s="27">
        <v>238.0</v>
      </c>
      <c r="H24" s="34">
        <f>G24*10</f>
        <v>2380</v>
      </c>
      <c r="I24" s="22">
        <v>0.121</v>
      </c>
      <c r="J24" s="22">
        <v>0.133</v>
      </c>
      <c r="K24" s="23">
        <f t="shared" si="13"/>
        <v>0.127</v>
      </c>
      <c r="L24" s="23">
        <f>K24*10</f>
        <v>1.27</v>
      </c>
      <c r="M24" s="24">
        <f t="shared" si="14"/>
        <v>2980.099</v>
      </c>
    </row>
    <row r="25" ht="15.75" customHeight="1">
      <c r="B25" s="25"/>
      <c r="C25" s="26">
        <v>75.0</v>
      </c>
      <c r="D25" s="27">
        <v>8.34</v>
      </c>
      <c r="E25" s="27">
        <v>62.7</v>
      </c>
      <c r="F25" s="27">
        <v>19.62</v>
      </c>
      <c r="G25" s="27">
        <v>183.0</v>
      </c>
      <c r="H25" s="34">
        <f t="shared" ref="H25:H26" si="15">G25*20</f>
        <v>3660</v>
      </c>
      <c r="I25" s="22">
        <v>0.1</v>
      </c>
      <c r="J25" s="22">
        <v>0.094</v>
      </c>
      <c r="K25" s="23">
        <f t="shared" si="13"/>
        <v>0.097</v>
      </c>
      <c r="L25" s="23">
        <f t="shared" ref="L25:L26" si="16">K25*20</f>
        <v>1.94</v>
      </c>
      <c r="M25" s="24">
        <f t="shared" si="14"/>
        <v>4554.331</v>
      </c>
    </row>
    <row r="26" ht="15.75" customHeight="1">
      <c r="B26" s="10"/>
      <c r="C26" s="28">
        <v>100.0</v>
      </c>
      <c r="D26" s="27">
        <v>8.21</v>
      </c>
      <c r="E26" s="27">
        <v>77.8</v>
      </c>
      <c r="F26" s="27">
        <v>24.94</v>
      </c>
      <c r="G26" s="27">
        <v>258.0</v>
      </c>
      <c r="H26" s="34">
        <f t="shared" si="15"/>
        <v>5160</v>
      </c>
      <c r="I26" s="22">
        <v>0.125</v>
      </c>
      <c r="J26" s="22">
        <v>0.139</v>
      </c>
      <c r="K26" s="23">
        <f t="shared" si="13"/>
        <v>0.132</v>
      </c>
      <c r="L26" s="23">
        <f t="shared" si="16"/>
        <v>2.64</v>
      </c>
      <c r="M26" s="24">
        <f t="shared" si="14"/>
        <v>6199.051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6" t="s">
        <v>5</v>
      </c>
      <c r="H2" s="37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38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39">
        <f>'Dia 0'!D4</f>
        <v>5.87</v>
      </c>
      <c r="E4" s="39">
        <f>'Dia 0'!E4</f>
        <v>0.86</v>
      </c>
      <c r="F4" s="39">
        <f>'Dia 0'!F4</f>
        <v>11.83</v>
      </c>
      <c r="G4" s="39">
        <f>'Dia 0'!H4</f>
        <v>0</v>
      </c>
      <c r="H4" s="39">
        <f>'Dia 0'!$M4</f>
        <v>7.855</v>
      </c>
      <c r="I4" s="8"/>
      <c r="J4" s="8"/>
      <c r="K4" s="8"/>
    </row>
    <row r="5" ht="15.75" customHeight="1">
      <c r="B5" s="25"/>
      <c r="C5" s="26">
        <v>25.0</v>
      </c>
      <c r="D5" s="39">
        <f>'Dia 0'!D5</f>
        <v>9.15</v>
      </c>
      <c r="E5" s="39">
        <f>'Dia 0'!E5</f>
        <v>56.2</v>
      </c>
      <c r="F5" s="39">
        <f>'Dia 0'!F5</f>
        <v>5.92</v>
      </c>
      <c r="G5" s="39">
        <f>'Dia 0'!H5</f>
        <v>1560</v>
      </c>
      <c r="H5" s="39">
        <f>'Dia 0'!$M5</f>
        <v>1511.599</v>
      </c>
      <c r="I5" s="8"/>
      <c r="J5" s="8"/>
      <c r="K5" s="8"/>
    </row>
    <row r="6" ht="15.75" customHeight="1">
      <c r="B6" s="25"/>
      <c r="C6" s="26">
        <v>50.0</v>
      </c>
      <c r="D6" s="39">
        <f>'Dia 0'!D6</f>
        <v>9.24</v>
      </c>
      <c r="E6" s="39">
        <f>'Dia 0'!E6</f>
        <v>106</v>
      </c>
      <c r="F6" s="39">
        <f>'Dia 0'!F6</f>
        <v>10.78</v>
      </c>
      <c r="G6" s="39">
        <f>'Dia 0'!H6</f>
        <v>2980</v>
      </c>
      <c r="H6" s="39">
        <f>'Dia 0'!$M6</f>
        <v>3015.343</v>
      </c>
      <c r="I6" s="8"/>
      <c r="J6" s="8"/>
      <c r="K6" s="8"/>
    </row>
    <row r="7" ht="15.75" customHeight="1">
      <c r="B7" s="25"/>
      <c r="C7" s="26">
        <v>75.0</v>
      </c>
      <c r="D7" s="39">
        <f>'Dia 0'!D7</f>
        <v>9.26</v>
      </c>
      <c r="E7" s="39">
        <f>'Dia 0'!E7</f>
        <v>108</v>
      </c>
      <c r="F7" s="39">
        <f>'Dia 0'!F7</f>
        <v>15.2</v>
      </c>
      <c r="G7" s="39">
        <f>'Dia 0'!H7</f>
        <v>4240</v>
      </c>
      <c r="H7" s="39">
        <f>'Dia 0'!$M7</f>
        <v>3919.939</v>
      </c>
      <c r="I7" s="8"/>
      <c r="J7" s="8"/>
      <c r="K7" s="8"/>
    </row>
    <row r="8" ht="15.75" customHeight="1">
      <c r="B8" s="10"/>
      <c r="C8" s="28">
        <v>100.0</v>
      </c>
      <c r="D8" s="39">
        <f>'Dia 0'!D8</f>
        <v>9.27</v>
      </c>
      <c r="E8" s="39">
        <f>'Dia 0'!E8</f>
        <v>152</v>
      </c>
      <c r="F8" s="39">
        <f>'Dia 0'!F8</f>
        <v>19.67</v>
      </c>
      <c r="G8" s="39">
        <f>'Dia 0'!H8</f>
        <v>5780</v>
      </c>
      <c r="H8" s="39">
        <f>'Dia 0'!$M8</f>
        <v>5188.723</v>
      </c>
      <c r="I8" s="8"/>
      <c r="J8" s="8"/>
      <c r="K8" s="8"/>
    </row>
    <row r="9" ht="15.75" customHeight="1">
      <c r="B9" s="18"/>
      <c r="C9" s="10"/>
      <c r="D9" s="40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1">
        <f>'Dia 0'!D10</f>
        <v>5.87</v>
      </c>
      <c r="E10" s="41">
        <f>'Dia 0'!E10</f>
        <v>0.86</v>
      </c>
      <c r="F10" s="41">
        <f>'Dia 0'!F10</f>
        <v>11.83</v>
      </c>
      <c r="G10" s="41">
        <f>'Dia 0'!H10</f>
        <v>0</v>
      </c>
      <c r="H10" s="41">
        <f>'Dia 0'!$M10</f>
        <v>7.855</v>
      </c>
      <c r="I10" s="8"/>
      <c r="J10" s="8"/>
      <c r="K10" s="8"/>
    </row>
    <row r="11" ht="15.75" customHeight="1">
      <c r="B11" s="25"/>
      <c r="C11" s="26">
        <v>25.0</v>
      </c>
      <c r="D11" s="41">
        <f>'Dia 0'!D11</f>
        <v>9.15</v>
      </c>
      <c r="E11" s="41">
        <f>'Dia 0'!E11</f>
        <v>56.2</v>
      </c>
      <c r="F11" s="41">
        <f>'Dia 0'!F11</f>
        <v>5.92</v>
      </c>
      <c r="G11" s="41">
        <f>'Dia 0'!H11</f>
        <v>1560</v>
      </c>
      <c r="H11" s="41">
        <f>'Dia 0'!$M11</f>
        <v>1511.599</v>
      </c>
    </row>
    <row r="12" ht="15.75" customHeight="1">
      <c r="B12" s="25"/>
      <c r="C12" s="26">
        <v>50.0</v>
      </c>
      <c r="D12" s="41">
        <f>'Dia 0'!D12</f>
        <v>9.24</v>
      </c>
      <c r="E12" s="41">
        <f>'Dia 0'!E12</f>
        <v>106</v>
      </c>
      <c r="F12" s="41">
        <f>'Dia 0'!F12</f>
        <v>10.78</v>
      </c>
      <c r="G12" s="41">
        <f>'Dia 0'!H12</f>
        <v>2980</v>
      </c>
      <c r="H12" s="41">
        <f>'Dia 0'!$M12</f>
        <v>3015.343</v>
      </c>
    </row>
    <row r="13" ht="15.75" customHeight="1">
      <c r="B13" s="25"/>
      <c r="C13" s="26">
        <v>75.0</v>
      </c>
      <c r="D13" s="41">
        <f>'Dia 0'!D13</f>
        <v>9.26</v>
      </c>
      <c r="E13" s="41">
        <f>'Dia 0'!E13</f>
        <v>108</v>
      </c>
      <c r="F13" s="41">
        <f>'Dia 0'!F13</f>
        <v>15.2</v>
      </c>
      <c r="G13" s="41">
        <f>'Dia 0'!H13</f>
        <v>4240</v>
      </c>
      <c r="H13" s="41">
        <f>'Dia 0'!$M13</f>
        <v>3919.939</v>
      </c>
    </row>
    <row r="14" ht="15.75" customHeight="1">
      <c r="B14" s="10"/>
      <c r="C14" s="28">
        <v>100.0</v>
      </c>
      <c r="D14" s="41">
        <f>'Dia 0'!D14</f>
        <v>9.27</v>
      </c>
      <c r="E14" s="41">
        <f>'Dia 0'!E14</f>
        <v>152</v>
      </c>
      <c r="F14" s="41">
        <f>'Dia 0'!F14</f>
        <v>19.67</v>
      </c>
      <c r="G14" s="41">
        <f>'Dia 0'!H14</f>
        <v>5780</v>
      </c>
      <c r="H14" s="41">
        <f>'Dia 0'!$M14</f>
        <v>5188.723</v>
      </c>
    </row>
    <row r="15" ht="15.75" customHeight="1">
      <c r="B15" s="32"/>
      <c r="C15" s="10"/>
      <c r="D15" s="40"/>
      <c r="E15" s="6"/>
      <c r="F15" s="6"/>
      <c r="G15" s="6"/>
      <c r="H15" s="30"/>
    </row>
    <row r="16" ht="15.75" customHeight="1">
      <c r="B16" s="42" t="s">
        <v>18</v>
      </c>
      <c r="C16" s="26">
        <v>0.0</v>
      </c>
      <c r="D16" s="41">
        <f>'Dia 0'!D16</f>
        <v>5.87</v>
      </c>
      <c r="E16" s="41">
        <f>'Dia 0'!E16</f>
        <v>0.86</v>
      </c>
      <c r="F16" s="41">
        <f>'Dia 0'!F16</f>
        <v>11.83</v>
      </c>
      <c r="G16" s="41">
        <f>'Dia 0'!H16</f>
        <v>0</v>
      </c>
      <c r="H16" s="41">
        <f>'Dia 0'!$M18</f>
        <v>2980.099</v>
      </c>
    </row>
    <row r="17" ht="15.75" customHeight="1">
      <c r="B17" s="25"/>
      <c r="C17" s="26">
        <v>25.0</v>
      </c>
      <c r="D17" s="41">
        <f>'Dia 0'!D17</f>
        <v>8.33</v>
      </c>
      <c r="E17" s="41">
        <f>'Dia 0'!E17</f>
        <v>26.2</v>
      </c>
      <c r="F17" s="41">
        <f>'Dia 0'!F17</f>
        <v>7.48</v>
      </c>
      <c r="G17" s="41">
        <f>'Dia 0'!H17</f>
        <v>1315</v>
      </c>
      <c r="H17" s="41">
        <f>'Dia 0'!$M19</f>
        <v>4554.331</v>
      </c>
    </row>
    <row r="18" ht="15.75" customHeight="1">
      <c r="B18" s="25"/>
      <c r="C18" s="26">
        <v>50.0</v>
      </c>
      <c r="D18" s="41">
        <f>'Dia 0'!D18</f>
        <v>8.31</v>
      </c>
      <c r="E18" s="41">
        <f>'Dia 0'!E18</f>
        <v>41.8</v>
      </c>
      <c r="F18" s="41">
        <f>'Dia 0'!F18</f>
        <v>13.65</v>
      </c>
      <c r="G18" s="41">
        <f>'Dia 0'!H18</f>
        <v>2380</v>
      </c>
      <c r="H18" s="41">
        <f>'Dia 0'!$M20</f>
        <v>6199.051</v>
      </c>
    </row>
    <row r="19" ht="15.75" customHeight="1">
      <c r="B19" s="25"/>
      <c r="C19" s="26">
        <v>75.0</v>
      </c>
      <c r="D19" s="41">
        <f>'Dia 0'!D19</f>
        <v>8.34</v>
      </c>
      <c r="E19" s="41">
        <f>'Dia 0'!E19</f>
        <v>62.7</v>
      </c>
      <c r="F19" s="41">
        <f>'Dia 0'!F19</f>
        <v>19.62</v>
      </c>
      <c r="G19" s="41">
        <f>'Dia 0'!H19</f>
        <v>3660</v>
      </c>
      <c r="H19" s="41" t="str">
        <f>'Dia 0'!$M21</f>
        <v/>
      </c>
    </row>
    <row r="20" ht="15.75" customHeight="1">
      <c r="B20" s="10"/>
      <c r="C20" s="28">
        <v>100.0</v>
      </c>
      <c r="D20" s="41">
        <f>'Dia 0'!D20</f>
        <v>8.21</v>
      </c>
      <c r="E20" s="41">
        <f>'Dia 0'!E20</f>
        <v>77.8</v>
      </c>
      <c r="F20" s="41">
        <f>'Dia 0'!F20</f>
        <v>24.94</v>
      </c>
      <c r="G20" s="41">
        <f>'Dia 0'!H20</f>
        <v>5160</v>
      </c>
      <c r="H20" s="41">
        <f>'Dia 0'!$M22</f>
        <v>7.855</v>
      </c>
    </row>
    <row r="21" ht="15.75" customHeight="1">
      <c r="B21" s="18"/>
      <c r="C21" s="10"/>
      <c r="D21" s="40"/>
      <c r="E21" s="6"/>
      <c r="F21" s="6"/>
      <c r="G21" s="6"/>
      <c r="H21" s="30"/>
    </row>
    <row r="22" ht="15.75" customHeight="1">
      <c r="B22" s="35" t="s">
        <v>19</v>
      </c>
      <c r="C22" s="26">
        <v>0.0</v>
      </c>
      <c r="D22" s="41">
        <f>'Dia 0'!D22</f>
        <v>5.87</v>
      </c>
      <c r="E22" s="41">
        <f>'Dia 0'!E22</f>
        <v>0.86</v>
      </c>
      <c r="F22" s="41">
        <f>'Dia 0'!F22</f>
        <v>11.83</v>
      </c>
      <c r="G22" s="41">
        <f>'Dia 0'!H22</f>
        <v>0</v>
      </c>
      <c r="H22" s="41">
        <f>'Dia 0'!$M26</f>
        <v>6199.051</v>
      </c>
    </row>
    <row r="23" ht="15.75" customHeight="1">
      <c r="B23" s="25"/>
      <c r="C23" s="26">
        <v>25.0</v>
      </c>
      <c r="D23" s="41">
        <f>'Dia 0'!D23</f>
        <v>8.33</v>
      </c>
      <c r="E23" s="41">
        <f>'Dia 0'!E23</f>
        <v>26.2</v>
      </c>
      <c r="F23" s="41">
        <f>'Dia 0'!F23</f>
        <v>7.48</v>
      </c>
      <c r="G23" s="41">
        <f>'Dia 0'!H23</f>
        <v>1315</v>
      </c>
      <c r="H23" s="41" t="str">
        <f>'Dia 0'!$M27</f>
        <v/>
      </c>
    </row>
    <row r="24" ht="15.75" customHeight="1">
      <c r="B24" s="25"/>
      <c r="C24" s="26">
        <v>50.0</v>
      </c>
      <c r="D24" s="41">
        <f>'Dia 0'!D24</f>
        <v>8.31</v>
      </c>
      <c r="E24" s="41">
        <f>'Dia 0'!E24</f>
        <v>41.8</v>
      </c>
      <c r="F24" s="41">
        <f>'Dia 0'!F24</f>
        <v>13.65</v>
      </c>
      <c r="G24" s="41">
        <f>'Dia 0'!H24</f>
        <v>2380</v>
      </c>
      <c r="H24" s="41" t="str">
        <f>'Dia 0'!$M28</f>
        <v/>
      </c>
    </row>
    <row r="25" ht="15.75" customHeight="1">
      <c r="B25" s="25"/>
      <c r="C25" s="26">
        <v>75.0</v>
      </c>
      <c r="D25" s="41">
        <f>'Dia 0'!D25</f>
        <v>8.34</v>
      </c>
      <c r="E25" s="41">
        <f>'Dia 0'!E25</f>
        <v>62.7</v>
      </c>
      <c r="F25" s="41">
        <f>'Dia 0'!F25</f>
        <v>19.62</v>
      </c>
      <c r="G25" s="41">
        <f>'Dia 0'!H25</f>
        <v>3660</v>
      </c>
      <c r="H25" s="41" t="str">
        <f>'Dia 0'!$M29</f>
        <v/>
      </c>
    </row>
    <row r="26" ht="15.75" customHeight="1">
      <c r="B26" s="10"/>
      <c r="C26" s="28">
        <v>100.0</v>
      </c>
      <c r="D26" s="41">
        <f>'Dia 0'!D26</f>
        <v>8.21</v>
      </c>
      <c r="E26" s="41">
        <f>'Dia 0'!E26</f>
        <v>77.8</v>
      </c>
      <c r="F26" s="41">
        <f>'Dia 0'!F26</f>
        <v>24.94</v>
      </c>
      <c r="G26" s="41">
        <f>'Dia 0'!H26</f>
        <v>5160</v>
      </c>
      <c r="H26" s="41" t="str">
        <f>'Dia 0'!$M30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  <c r="N2" s="8"/>
      <c r="O2" s="8"/>
      <c r="P2" s="8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20</v>
      </c>
      <c r="J3" s="14" t="s">
        <v>21</v>
      </c>
      <c r="K3" s="15" t="s">
        <v>11</v>
      </c>
      <c r="L3" s="15" t="s">
        <v>8</v>
      </c>
      <c r="M3" s="16" t="s">
        <v>12</v>
      </c>
      <c r="N3" s="8"/>
      <c r="O3" s="8"/>
      <c r="P3" s="8"/>
    </row>
    <row r="4" ht="15.75" customHeight="1">
      <c r="B4" s="17" t="s">
        <v>13</v>
      </c>
      <c r="C4" s="18">
        <v>0.0</v>
      </c>
      <c r="D4" s="19">
        <v>8.85</v>
      </c>
      <c r="E4" s="19">
        <v>0.061</v>
      </c>
      <c r="F4" s="19">
        <v>37.4</v>
      </c>
      <c r="G4" s="19">
        <v>51.0</v>
      </c>
      <c r="H4" s="20">
        <f>G4</f>
        <v>51</v>
      </c>
      <c r="I4" s="21">
        <v>0.038</v>
      </c>
      <c r="J4" s="22">
        <v>0.038</v>
      </c>
      <c r="K4" s="43">
        <f t="shared" ref="K4:K8" si="1">AVERAGE(I4:J4)</f>
        <v>0.038</v>
      </c>
      <c r="L4" s="43">
        <f>K4</f>
        <v>0.038</v>
      </c>
      <c r="M4" s="44">
        <f t="shared" ref="M4:M8" si="2">(2349.6*L4) - 3.893</f>
        <v>85.3918</v>
      </c>
      <c r="N4" s="8"/>
      <c r="O4" s="8"/>
      <c r="P4" s="8"/>
    </row>
    <row r="5" ht="15.75" customHeight="1">
      <c r="B5" s="25"/>
      <c r="C5" s="26">
        <v>25.0</v>
      </c>
      <c r="D5" s="19">
        <v>9.25</v>
      </c>
      <c r="E5" s="19">
        <v>65.5</v>
      </c>
      <c r="F5" s="19">
        <v>4.5</v>
      </c>
      <c r="G5" s="19">
        <v>137.0</v>
      </c>
      <c r="H5" s="20">
        <f>G5*5</f>
        <v>685</v>
      </c>
      <c r="I5" s="21">
        <v>0.053</v>
      </c>
      <c r="J5" s="22">
        <v>0.053</v>
      </c>
      <c r="K5" s="43">
        <f t="shared" si="1"/>
        <v>0.053</v>
      </c>
      <c r="L5" s="43">
        <f>K5*5</f>
        <v>0.265</v>
      </c>
      <c r="M5" s="44">
        <f t="shared" si="2"/>
        <v>618.751</v>
      </c>
      <c r="N5" s="8"/>
      <c r="O5" s="8"/>
      <c r="P5" s="8"/>
    </row>
    <row r="6" ht="15.75" customHeight="1">
      <c r="B6" s="25"/>
      <c r="C6" s="26">
        <v>50.0</v>
      </c>
      <c r="D6" s="27">
        <v>9.37</v>
      </c>
      <c r="E6" s="27">
        <v>107.0</v>
      </c>
      <c r="F6" s="27">
        <v>8.48</v>
      </c>
      <c r="G6" s="27">
        <v>278.0</v>
      </c>
      <c r="H6" s="20">
        <f t="shared" ref="H6:H8" si="3">G6*10</f>
        <v>2780</v>
      </c>
      <c r="I6" s="22">
        <v>0.098</v>
      </c>
      <c r="J6" s="22">
        <v>0.104</v>
      </c>
      <c r="K6" s="43">
        <f t="shared" si="1"/>
        <v>0.101</v>
      </c>
      <c r="L6" s="43">
        <f t="shared" ref="L6:L8" si="4">K6*10</f>
        <v>1.01</v>
      </c>
      <c r="M6" s="44">
        <f t="shared" si="2"/>
        <v>2369.203</v>
      </c>
      <c r="N6" s="8"/>
      <c r="O6" s="8"/>
      <c r="P6" s="8"/>
    </row>
    <row r="7" ht="15.75" customHeight="1">
      <c r="B7" s="25"/>
      <c r="C7" s="26">
        <v>75.0</v>
      </c>
      <c r="D7" s="27">
        <v>9.44</v>
      </c>
      <c r="E7" s="27">
        <v>143.0</v>
      </c>
      <c r="F7" s="27">
        <v>13.36</v>
      </c>
      <c r="G7" s="27">
        <v>193.0</v>
      </c>
      <c r="H7" s="20">
        <f t="shared" si="3"/>
        <v>1930</v>
      </c>
      <c r="I7" s="22">
        <v>0.083</v>
      </c>
      <c r="J7" s="22">
        <v>0.083</v>
      </c>
      <c r="K7" s="43">
        <f t="shared" si="1"/>
        <v>0.083</v>
      </c>
      <c r="L7" s="43">
        <f t="shared" si="4"/>
        <v>0.83</v>
      </c>
      <c r="M7" s="44">
        <f t="shared" si="2"/>
        <v>1946.275</v>
      </c>
      <c r="N7" s="8"/>
      <c r="O7" s="8"/>
      <c r="P7" s="8"/>
    </row>
    <row r="8" ht="15.75" customHeight="1">
      <c r="B8" s="10"/>
      <c r="C8" s="28">
        <v>100.0</v>
      </c>
      <c r="D8" s="27">
        <v>9.44</v>
      </c>
      <c r="E8" s="27">
        <v>156.0</v>
      </c>
      <c r="F8" s="27">
        <v>17.64</v>
      </c>
      <c r="G8" s="27">
        <v>255.0</v>
      </c>
      <c r="H8" s="20">
        <f t="shared" si="3"/>
        <v>2550</v>
      </c>
      <c r="I8" s="22">
        <v>0.108</v>
      </c>
      <c r="J8" s="22">
        <v>0.108</v>
      </c>
      <c r="K8" s="43">
        <f t="shared" si="1"/>
        <v>0.108</v>
      </c>
      <c r="L8" s="43">
        <f t="shared" si="4"/>
        <v>1.08</v>
      </c>
      <c r="M8" s="44">
        <f t="shared" si="2"/>
        <v>2533.675</v>
      </c>
      <c r="N8" s="8"/>
      <c r="O8" s="8"/>
      <c r="P8" s="8"/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  <c r="N9" s="8"/>
      <c r="O9" s="8"/>
      <c r="P9" s="8"/>
    </row>
    <row r="10" ht="15.75" customHeight="1">
      <c r="B10" s="31" t="s">
        <v>14</v>
      </c>
      <c r="C10" s="26">
        <v>0.0</v>
      </c>
      <c r="D10" s="27">
        <v>8.47</v>
      </c>
      <c r="E10" s="27">
        <v>0.0</v>
      </c>
      <c r="F10" s="27">
        <v>20.2</v>
      </c>
      <c r="G10" s="27">
        <v>2.0</v>
      </c>
      <c r="H10" s="34">
        <f>G10</f>
        <v>2</v>
      </c>
      <c r="I10" s="22">
        <v>0.005</v>
      </c>
      <c r="J10" s="22">
        <v>0.011</v>
      </c>
      <c r="K10" s="43">
        <f t="shared" ref="K10:K14" si="5">AVERAGE(I10:J10)</f>
        <v>0.008</v>
      </c>
      <c r="L10" s="43">
        <f>K10</f>
        <v>0.008</v>
      </c>
      <c r="M10" s="44">
        <f t="shared" ref="M10:M14" si="6">(2349.6*L10) - 3.893</f>
        <v>14.9038</v>
      </c>
      <c r="N10" s="8"/>
      <c r="O10" s="8"/>
      <c r="P10" s="8"/>
    </row>
    <row r="11" ht="15.75" customHeight="1">
      <c r="B11" s="25"/>
      <c r="C11" s="26">
        <v>25.0</v>
      </c>
      <c r="D11" s="27">
        <v>9.26</v>
      </c>
      <c r="E11" s="27">
        <v>49.8</v>
      </c>
      <c r="F11" s="27">
        <v>4.37</v>
      </c>
      <c r="G11" s="27">
        <v>99.0</v>
      </c>
      <c r="H11" s="34">
        <f>G11*5</f>
        <v>495</v>
      </c>
      <c r="I11" s="22">
        <v>0.049</v>
      </c>
      <c r="J11" s="22">
        <v>0.052</v>
      </c>
      <c r="K11" s="43">
        <f t="shared" si="5"/>
        <v>0.0505</v>
      </c>
      <c r="L11" s="43">
        <f>K11*5</f>
        <v>0.2525</v>
      </c>
      <c r="M11" s="44">
        <f t="shared" si="6"/>
        <v>589.381</v>
      </c>
    </row>
    <row r="12" ht="15.75" customHeight="1">
      <c r="B12" s="25"/>
      <c r="C12" s="26">
        <v>50.0</v>
      </c>
      <c r="D12" s="27">
        <v>9.38</v>
      </c>
      <c r="E12" s="27">
        <v>86.6</v>
      </c>
      <c r="F12" s="27">
        <v>8.41</v>
      </c>
      <c r="G12" s="27">
        <v>230.0</v>
      </c>
      <c r="H12" s="34">
        <f t="shared" ref="H12:H14" si="7">G12*10</f>
        <v>2300</v>
      </c>
      <c r="I12" s="22">
        <v>0.096</v>
      </c>
      <c r="J12" s="22">
        <v>0.098</v>
      </c>
      <c r="K12" s="43">
        <f t="shared" si="5"/>
        <v>0.097</v>
      </c>
      <c r="L12" s="43">
        <f t="shared" ref="L12:L14" si="8">K12*10</f>
        <v>0.97</v>
      </c>
      <c r="M12" s="44">
        <f t="shared" si="6"/>
        <v>2275.219</v>
      </c>
    </row>
    <row r="13" ht="15.75" customHeight="1">
      <c r="B13" s="25"/>
      <c r="C13" s="26">
        <v>75.0</v>
      </c>
      <c r="D13" s="27">
        <v>9.44</v>
      </c>
      <c r="E13" s="27">
        <v>136.0</v>
      </c>
      <c r="F13" s="27">
        <v>13.03</v>
      </c>
      <c r="G13" s="27">
        <v>181.0</v>
      </c>
      <c r="H13" s="34">
        <f t="shared" si="7"/>
        <v>1810</v>
      </c>
      <c r="I13" s="22">
        <v>0.077</v>
      </c>
      <c r="J13" s="22">
        <v>0.081</v>
      </c>
      <c r="K13" s="43">
        <f t="shared" si="5"/>
        <v>0.079</v>
      </c>
      <c r="L13" s="43">
        <f t="shared" si="8"/>
        <v>0.79</v>
      </c>
      <c r="M13" s="44">
        <f t="shared" si="6"/>
        <v>1852.291</v>
      </c>
    </row>
    <row r="14" ht="15.75" customHeight="1">
      <c r="B14" s="10"/>
      <c r="C14" s="28">
        <v>100.0</v>
      </c>
      <c r="D14" s="27">
        <v>9.46</v>
      </c>
      <c r="E14" s="27">
        <v>164.0</v>
      </c>
      <c r="F14" s="27">
        <v>17.22</v>
      </c>
      <c r="G14" s="27">
        <v>254.0</v>
      </c>
      <c r="H14" s="34">
        <f t="shared" si="7"/>
        <v>2540</v>
      </c>
      <c r="I14" s="22">
        <v>0.121</v>
      </c>
      <c r="J14" s="22">
        <v>0.104</v>
      </c>
      <c r="K14" s="43">
        <f t="shared" si="5"/>
        <v>0.1125</v>
      </c>
      <c r="L14" s="43">
        <f t="shared" si="8"/>
        <v>1.125</v>
      </c>
      <c r="M14" s="44">
        <f t="shared" si="6"/>
        <v>2639.407</v>
      </c>
    </row>
    <row r="15" ht="15.75" customHeight="1">
      <c r="B15" s="32"/>
      <c r="C15" s="10"/>
      <c r="D15" s="29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8.85</v>
      </c>
      <c r="E16" s="27">
        <v>0.61</v>
      </c>
      <c r="F16" s="27">
        <v>37.4</v>
      </c>
      <c r="G16" s="27">
        <v>51.0</v>
      </c>
      <c r="H16" s="34">
        <f>G16</f>
        <v>51</v>
      </c>
      <c r="I16" s="22">
        <v>0.038</v>
      </c>
      <c r="J16" s="22">
        <v>0.038</v>
      </c>
      <c r="K16" s="43">
        <f t="shared" ref="K16:K20" si="9">AVERAGE(I16:J16)</f>
        <v>0.038</v>
      </c>
      <c r="L16" s="43">
        <f>K16</f>
        <v>0.038</v>
      </c>
      <c r="M16" s="44">
        <f t="shared" ref="M16:M20" si="10">(2349.6*L16) - 3.893</f>
        <v>85.3918</v>
      </c>
    </row>
    <row r="17" ht="15.75" customHeight="1">
      <c r="B17" s="25"/>
      <c r="C17" s="26">
        <v>25.0</v>
      </c>
      <c r="D17" s="27">
        <v>9.22</v>
      </c>
      <c r="E17" s="27">
        <v>45.1</v>
      </c>
      <c r="F17" s="27">
        <v>4.95</v>
      </c>
      <c r="G17" s="27">
        <v>129.0</v>
      </c>
      <c r="H17" s="34">
        <f>G17*5</f>
        <v>645</v>
      </c>
      <c r="I17" s="22">
        <v>0.054</v>
      </c>
      <c r="J17" s="22">
        <v>0.059</v>
      </c>
      <c r="K17" s="43">
        <f t="shared" si="9"/>
        <v>0.0565</v>
      </c>
      <c r="L17" s="43">
        <f>K17*5</f>
        <v>0.2825</v>
      </c>
      <c r="M17" s="44">
        <f t="shared" si="10"/>
        <v>659.869</v>
      </c>
    </row>
    <row r="18" ht="15.75" customHeight="1">
      <c r="B18" s="25"/>
      <c r="C18" s="26">
        <v>50.0</v>
      </c>
      <c r="D18" s="27">
        <v>9.34</v>
      </c>
      <c r="E18" s="27">
        <v>87.7</v>
      </c>
      <c r="F18" s="27">
        <v>9.85</v>
      </c>
      <c r="G18" s="27">
        <v>291.0</v>
      </c>
      <c r="H18" s="34">
        <f t="shared" ref="H18:H19" si="11">G18*10</f>
        <v>2910</v>
      </c>
      <c r="I18" s="22">
        <v>0.117</v>
      </c>
      <c r="J18" s="22">
        <v>0.103</v>
      </c>
      <c r="K18" s="43">
        <f t="shared" si="9"/>
        <v>0.11</v>
      </c>
      <c r="L18" s="43">
        <f t="shared" ref="L18:L20" si="12">K18*10</f>
        <v>1.1</v>
      </c>
      <c r="M18" s="44">
        <f t="shared" si="10"/>
        <v>2580.667</v>
      </c>
    </row>
    <row r="19" ht="15.75" customHeight="1">
      <c r="B19" s="25"/>
      <c r="C19" s="26">
        <v>75.0</v>
      </c>
      <c r="D19" s="27">
        <v>9.3</v>
      </c>
      <c r="E19" s="27">
        <v>89.3</v>
      </c>
      <c r="F19" s="27">
        <v>14.8</v>
      </c>
      <c r="G19" s="27">
        <v>193.0</v>
      </c>
      <c r="H19" s="34">
        <f t="shared" si="11"/>
        <v>1930</v>
      </c>
      <c r="I19" s="22">
        <v>0.079</v>
      </c>
      <c r="J19" s="22">
        <v>0.082</v>
      </c>
      <c r="K19" s="43">
        <f t="shared" si="9"/>
        <v>0.0805</v>
      </c>
      <c r="L19" s="43">
        <f t="shared" si="12"/>
        <v>0.805</v>
      </c>
      <c r="M19" s="44">
        <f t="shared" si="10"/>
        <v>1887.535</v>
      </c>
    </row>
    <row r="20" ht="15.75" customHeight="1">
      <c r="B20" s="10"/>
      <c r="C20" s="28">
        <v>100.0</v>
      </c>
      <c r="D20" s="27">
        <v>9.33</v>
      </c>
      <c r="E20" s="27">
        <v>104.0</v>
      </c>
      <c r="F20" s="27">
        <v>18.21</v>
      </c>
      <c r="G20" s="27">
        <v>242.0</v>
      </c>
      <c r="H20" s="34">
        <f>G20*20</f>
        <v>4840</v>
      </c>
      <c r="I20" s="22">
        <v>0.107</v>
      </c>
      <c r="J20" s="22">
        <v>0.1</v>
      </c>
      <c r="K20" s="43">
        <f t="shared" si="9"/>
        <v>0.1035</v>
      </c>
      <c r="L20" s="43">
        <f t="shared" si="12"/>
        <v>1.035</v>
      </c>
      <c r="M20" s="44">
        <f t="shared" si="10"/>
        <v>2427.943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45" t="s">
        <v>16</v>
      </c>
      <c r="C22" s="26">
        <v>0.0</v>
      </c>
      <c r="D22" s="27">
        <v>8.47</v>
      </c>
      <c r="E22" s="27">
        <v>0.0</v>
      </c>
      <c r="F22" s="27">
        <v>20.2</v>
      </c>
      <c r="G22" s="27">
        <v>2.0</v>
      </c>
      <c r="H22" s="34">
        <f>G22</f>
        <v>2</v>
      </c>
      <c r="I22" s="22">
        <v>0.005</v>
      </c>
      <c r="J22" s="22">
        <v>0.011</v>
      </c>
      <c r="K22" s="43">
        <f t="shared" ref="K22:K26" si="13">AVERAGE(I22:J22)</f>
        <v>0.008</v>
      </c>
      <c r="L22" s="43">
        <f>K22</f>
        <v>0.008</v>
      </c>
      <c r="M22" s="44">
        <f t="shared" ref="M22:M26" si="14">(2349.6*L22) - 3.893</f>
        <v>14.9038</v>
      </c>
    </row>
    <row r="23" ht="15.75" customHeight="1">
      <c r="B23" s="25"/>
      <c r="C23" s="26">
        <v>25.0</v>
      </c>
      <c r="D23" s="27">
        <v>9.29</v>
      </c>
      <c r="E23" s="27">
        <v>33.3</v>
      </c>
      <c r="F23" s="27">
        <v>5.06</v>
      </c>
      <c r="G23" s="27">
        <v>119.0</v>
      </c>
      <c r="H23" s="34">
        <f>G23*5</f>
        <v>595</v>
      </c>
      <c r="I23" s="22">
        <v>0.059</v>
      </c>
      <c r="J23" s="22">
        <v>0.054</v>
      </c>
      <c r="K23" s="43">
        <f t="shared" si="13"/>
        <v>0.0565</v>
      </c>
      <c r="L23" s="43">
        <f>K23*5</f>
        <v>0.2825</v>
      </c>
      <c r="M23" s="44">
        <f t="shared" si="14"/>
        <v>659.869</v>
      </c>
    </row>
    <row r="24" ht="15.75" customHeight="1">
      <c r="B24" s="25"/>
      <c r="C24" s="26">
        <v>50.0</v>
      </c>
      <c r="D24" s="27">
        <v>9.34</v>
      </c>
      <c r="E24" s="27">
        <v>60.3</v>
      </c>
      <c r="F24" s="27">
        <v>9.91</v>
      </c>
      <c r="G24" s="27">
        <v>259.0</v>
      </c>
      <c r="H24" s="34">
        <f t="shared" ref="H24:H26" si="15">G24*10</f>
        <v>2590</v>
      </c>
      <c r="I24" s="22">
        <v>0.117</v>
      </c>
      <c r="J24" s="22">
        <v>0.103</v>
      </c>
      <c r="K24" s="43">
        <f t="shared" si="13"/>
        <v>0.11</v>
      </c>
      <c r="L24" s="43">
        <f t="shared" ref="L24:L26" si="16">K24*10</f>
        <v>1.1</v>
      </c>
      <c r="M24" s="44">
        <f t="shared" si="14"/>
        <v>2580.667</v>
      </c>
    </row>
    <row r="25" ht="15.75" customHeight="1">
      <c r="B25" s="25"/>
      <c r="C25" s="26">
        <v>75.0</v>
      </c>
      <c r="D25" s="27">
        <v>9.36</v>
      </c>
      <c r="E25" s="27">
        <v>79.3</v>
      </c>
      <c r="F25" s="27">
        <v>14.52</v>
      </c>
      <c r="G25" s="27">
        <v>189.0</v>
      </c>
      <c r="H25" s="34">
        <f t="shared" si="15"/>
        <v>1890</v>
      </c>
      <c r="I25" s="22">
        <v>0.079</v>
      </c>
      <c r="J25" s="22">
        <v>0.082</v>
      </c>
      <c r="K25" s="43">
        <f t="shared" si="13"/>
        <v>0.0805</v>
      </c>
      <c r="L25" s="43">
        <f t="shared" si="16"/>
        <v>0.805</v>
      </c>
      <c r="M25" s="44">
        <f t="shared" si="14"/>
        <v>1887.535</v>
      </c>
    </row>
    <row r="26" ht="15.75" customHeight="1">
      <c r="B26" s="10"/>
      <c r="C26" s="28">
        <v>100.0</v>
      </c>
      <c r="D26" s="27">
        <v>9.3</v>
      </c>
      <c r="E26" s="27">
        <v>95.5</v>
      </c>
      <c r="F26" s="27">
        <v>17.74</v>
      </c>
      <c r="G26" s="27">
        <v>246.0</v>
      </c>
      <c r="H26" s="34">
        <f t="shared" si="15"/>
        <v>2460</v>
      </c>
      <c r="I26" s="22">
        <v>0.107</v>
      </c>
      <c r="J26" s="22">
        <v>0.1</v>
      </c>
      <c r="K26" s="43">
        <f t="shared" si="13"/>
        <v>0.1035</v>
      </c>
      <c r="L26" s="43">
        <f t="shared" si="16"/>
        <v>1.035</v>
      </c>
      <c r="M26" s="44">
        <f t="shared" si="14"/>
        <v>2427.943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6" t="s">
        <v>5</v>
      </c>
      <c r="H2" s="37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38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39">
        <f>'Dia 7'!D4</f>
        <v>8.85</v>
      </c>
      <c r="E4" s="39">
        <f>'Dia 7'!E4</f>
        <v>0.061</v>
      </c>
      <c r="F4" s="39">
        <f>'Dia 7'!F4</f>
        <v>37.4</v>
      </c>
      <c r="G4" s="39">
        <f>'Dia 7'!H4</f>
        <v>51</v>
      </c>
      <c r="H4" s="39">
        <f>'Dia 7'!M4</f>
        <v>85.3918</v>
      </c>
      <c r="I4" s="8"/>
      <c r="J4" s="8"/>
      <c r="K4" s="8"/>
    </row>
    <row r="5" ht="15.75" customHeight="1">
      <c r="B5" s="25"/>
      <c r="C5" s="26">
        <v>25.0</v>
      </c>
      <c r="D5" s="39">
        <f>'Dia 7'!D5</f>
        <v>9.25</v>
      </c>
      <c r="E5" s="39">
        <f>'Dia 7'!E5</f>
        <v>65.5</v>
      </c>
      <c r="F5" s="39">
        <f>'Dia 7'!F5</f>
        <v>4.5</v>
      </c>
      <c r="G5" s="39">
        <f>'Dia 7'!H5</f>
        <v>685</v>
      </c>
      <c r="H5" s="39">
        <f>'Dia 7'!M5</f>
        <v>618.751</v>
      </c>
      <c r="I5" s="8"/>
      <c r="J5" s="8"/>
      <c r="K5" s="8"/>
    </row>
    <row r="6" ht="15.75" customHeight="1">
      <c r="B6" s="25"/>
      <c r="C6" s="26">
        <v>50.0</v>
      </c>
      <c r="D6" s="39">
        <f>'Dia 7'!D6</f>
        <v>9.37</v>
      </c>
      <c r="E6" s="39">
        <f>'Dia 7'!E6</f>
        <v>107</v>
      </c>
      <c r="F6" s="39">
        <f>'Dia 7'!F6</f>
        <v>8.48</v>
      </c>
      <c r="G6" s="39">
        <f>'Dia 7'!H6</f>
        <v>2780</v>
      </c>
      <c r="H6" s="39">
        <f>'Dia 7'!M6</f>
        <v>2369.203</v>
      </c>
      <c r="I6" s="8"/>
      <c r="J6" s="8"/>
      <c r="K6" s="8"/>
    </row>
    <row r="7" ht="15.75" customHeight="1">
      <c r="B7" s="25"/>
      <c r="C7" s="26">
        <v>75.0</v>
      </c>
      <c r="D7" s="39">
        <f>'Dia 7'!D7</f>
        <v>9.44</v>
      </c>
      <c r="E7" s="39">
        <f>'Dia 7'!E7</f>
        <v>143</v>
      </c>
      <c r="F7" s="39">
        <f>'Dia 7'!F7</f>
        <v>13.36</v>
      </c>
      <c r="G7" s="39">
        <f>'Dia 7'!H7</f>
        <v>1930</v>
      </c>
      <c r="H7" s="39">
        <f>'Dia 7'!M7</f>
        <v>1946.275</v>
      </c>
      <c r="I7" s="8"/>
      <c r="J7" s="8"/>
      <c r="K7" s="8"/>
    </row>
    <row r="8" ht="15.75" customHeight="1">
      <c r="B8" s="10"/>
      <c r="C8" s="28">
        <v>100.0</v>
      </c>
      <c r="D8" s="39">
        <f>'Dia 7'!D8</f>
        <v>9.44</v>
      </c>
      <c r="E8" s="39">
        <f>'Dia 7'!E8</f>
        <v>156</v>
      </c>
      <c r="F8" s="39">
        <f>'Dia 7'!F8</f>
        <v>17.64</v>
      </c>
      <c r="G8" s="39">
        <f>'Dia 7'!H8</f>
        <v>2550</v>
      </c>
      <c r="H8" s="39">
        <f>'Dia 7'!M8</f>
        <v>2533.675</v>
      </c>
      <c r="I8" s="8"/>
      <c r="J8" s="8"/>
      <c r="K8" s="8"/>
    </row>
    <row r="9" ht="15.75" customHeight="1">
      <c r="B9" s="18"/>
      <c r="C9" s="10"/>
      <c r="D9" s="40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1">
        <f>'Dia 7'!D10</f>
        <v>8.47</v>
      </c>
      <c r="E10" s="41">
        <f>'Dia 7'!E10</f>
        <v>0</v>
      </c>
      <c r="F10" s="41">
        <f>'Dia 7'!F10</f>
        <v>20.2</v>
      </c>
      <c r="G10" s="41">
        <f>'Dia 7'!H10</f>
        <v>2</v>
      </c>
      <c r="H10" s="41">
        <f>'Dia 7'!M10</f>
        <v>14.9038</v>
      </c>
      <c r="I10" s="8"/>
      <c r="J10" s="8"/>
      <c r="K10" s="8"/>
    </row>
    <row r="11" ht="15.75" customHeight="1">
      <c r="B11" s="25"/>
      <c r="C11" s="26">
        <v>25.0</v>
      </c>
      <c r="D11" s="41">
        <f>'Dia 7'!D11</f>
        <v>9.26</v>
      </c>
      <c r="E11" s="41">
        <f>'Dia 7'!E11</f>
        <v>49.8</v>
      </c>
      <c r="F11" s="41">
        <f>'Dia 7'!F11</f>
        <v>4.37</v>
      </c>
      <c r="G11" s="41">
        <f>'Dia 7'!H11</f>
        <v>495</v>
      </c>
      <c r="H11" s="41">
        <f>'Dia 7'!M11</f>
        <v>589.381</v>
      </c>
    </row>
    <row r="12" ht="15.75" customHeight="1">
      <c r="B12" s="25"/>
      <c r="C12" s="26">
        <v>50.0</v>
      </c>
      <c r="D12" s="41">
        <f>'Dia 7'!D12</f>
        <v>9.38</v>
      </c>
      <c r="E12" s="41">
        <f>'Dia 7'!E12</f>
        <v>86.6</v>
      </c>
      <c r="F12" s="41">
        <f>'Dia 7'!F12</f>
        <v>8.41</v>
      </c>
      <c r="G12" s="41">
        <f>'Dia 7'!H12</f>
        <v>2300</v>
      </c>
      <c r="H12" s="41">
        <f>'Dia 7'!M12</f>
        <v>2275.219</v>
      </c>
    </row>
    <row r="13" ht="15.75" customHeight="1">
      <c r="B13" s="25"/>
      <c r="C13" s="26">
        <v>75.0</v>
      </c>
      <c r="D13" s="41">
        <f>'Dia 7'!D13</f>
        <v>9.44</v>
      </c>
      <c r="E13" s="41">
        <f>'Dia 7'!E13</f>
        <v>136</v>
      </c>
      <c r="F13" s="41">
        <f>'Dia 7'!F13</f>
        <v>13.03</v>
      </c>
      <c r="G13" s="41">
        <f>'Dia 7'!H13</f>
        <v>1810</v>
      </c>
      <c r="H13" s="41">
        <f>'Dia 7'!M13</f>
        <v>1852.291</v>
      </c>
    </row>
    <row r="14" ht="15.75" customHeight="1">
      <c r="B14" s="10"/>
      <c r="C14" s="28">
        <v>100.0</v>
      </c>
      <c r="D14" s="41">
        <f>'Dia 7'!D14</f>
        <v>9.46</v>
      </c>
      <c r="E14" s="41">
        <f>'Dia 7'!E14</f>
        <v>164</v>
      </c>
      <c r="F14" s="41">
        <f>'Dia 7'!F14</f>
        <v>17.22</v>
      </c>
      <c r="G14" s="41">
        <f>'Dia 7'!H14</f>
        <v>2540</v>
      </c>
      <c r="H14" s="41">
        <f>'Dia 7'!M14</f>
        <v>2639.407</v>
      </c>
    </row>
    <row r="15" ht="15.75" customHeight="1">
      <c r="B15" s="32"/>
      <c r="C15" s="10"/>
      <c r="D15" s="40"/>
      <c r="E15" s="6"/>
      <c r="F15" s="6"/>
      <c r="G15" s="6"/>
      <c r="H15" s="30"/>
    </row>
    <row r="16" ht="15.75" customHeight="1">
      <c r="B16" s="42" t="s">
        <v>18</v>
      </c>
      <c r="C16" s="26">
        <v>0.0</v>
      </c>
      <c r="D16" s="41">
        <f>'Dia 7'!D16</f>
        <v>8.85</v>
      </c>
      <c r="E16" s="41">
        <f>'Dia 7'!E16</f>
        <v>0.61</v>
      </c>
      <c r="F16" s="41">
        <f>'Dia 7'!F16</f>
        <v>37.4</v>
      </c>
      <c r="G16" s="41">
        <f>'Dia 7'!H16</f>
        <v>51</v>
      </c>
      <c r="H16" s="41">
        <f>'Dia 7'!M16</f>
        <v>85.3918</v>
      </c>
    </row>
    <row r="17" ht="15.75" customHeight="1">
      <c r="B17" s="25"/>
      <c r="C17" s="26">
        <v>25.0</v>
      </c>
      <c r="D17" s="41">
        <f>'Dia 7'!D17</f>
        <v>9.22</v>
      </c>
      <c r="E17" s="41">
        <f>'Dia 7'!E17</f>
        <v>45.1</v>
      </c>
      <c r="F17" s="41">
        <f>'Dia 7'!F17</f>
        <v>4.95</v>
      </c>
      <c r="G17" s="41">
        <f>'Dia 7'!H17</f>
        <v>645</v>
      </c>
      <c r="H17" s="41">
        <f>'Dia 7'!M17</f>
        <v>659.869</v>
      </c>
    </row>
    <row r="18" ht="15.75" customHeight="1">
      <c r="B18" s="25"/>
      <c r="C18" s="26">
        <v>50.0</v>
      </c>
      <c r="D18" s="41">
        <f>'Dia 7'!D18</f>
        <v>9.34</v>
      </c>
      <c r="E18" s="41">
        <f>'Dia 7'!E18</f>
        <v>87.7</v>
      </c>
      <c r="F18" s="41">
        <f>'Dia 7'!F18</f>
        <v>9.85</v>
      </c>
      <c r="G18" s="41">
        <f>'Dia 7'!H18</f>
        <v>2910</v>
      </c>
      <c r="H18" s="41">
        <f>'Dia 7'!M18</f>
        <v>2580.667</v>
      </c>
    </row>
    <row r="19" ht="15.75" customHeight="1">
      <c r="B19" s="25"/>
      <c r="C19" s="26">
        <v>75.0</v>
      </c>
      <c r="D19" s="41">
        <f>'Dia 7'!D19</f>
        <v>9.3</v>
      </c>
      <c r="E19" s="41">
        <f>'Dia 7'!E19</f>
        <v>89.3</v>
      </c>
      <c r="F19" s="41">
        <f>'Dia 7'!F19</f>
        <v>14.8</v>
      </c>
      <c r="G19" s="41">
        <f>'Dia 7'!H19</f>
        <v>1930</v>
      </c>
      <c r="H19" s="41">
        <f>'Dia 7'!M19</f>
        <v>1887.535</v>
      </c>
    </row>
    <row r="20" ht="15.75" customHeight="1">
      <c r="B20" s="10"/>
      <c r="C20" s="28">
        <v>100.0</v>
      </c>
      <c r="D20" s="41">
        <f>'Dia 7'!D20</f>
        <v>9.33</v>
      </c>
      <c r="E20" s="41">
        <f>'Dia 7'!E20</f>
        <v>104</v>
      </c>
      <c r="F20" s="41">
        <f>'Dia 7'!F20</f>
        <v>18.21</v>
      </c>
      <c r="G20" s="41">
        <f>'Dia 7'!H20</f>
        <v>4840</v>
      </c>
      <c r="H20" s="41">
        <f>'Dia 7'!M20</f>
        <v>2427.943</v>
      </c>
    </row>
    <row r="21" ht="15.75" customHeight="1">
      <c r="B21" s="18"/>
      <c r="C21" s="10"/>
      <c r="D21" s="40"/>
      <c r="E21" s="6"/>
      <c r="F21" s="6"/>
      <c r="G21" s="6"/>
      <c r="H21" s="30"/>
    </row>
    <row r="22" ht="15.75" customHeight="1">
      <c r="B22" s="35" t="s">
        <v>19</v>
      </c>
      <c r="C22" s="26">
        <v>0.0</v>
      </c>
      <c r="D22" s="41">
        <f>'Dia 7'!D22</f>
        <v>8.47</v>
      </c>
      <c r="E22" s="41">
        <f>'Dia 7'!E22</f>
        <v>0</v>
      </c>
      <c r="F22" s="41">
        <f>'Dia 7'!F22</f>
        <v>20.2</v>
      </c>
      <c r="G22" s="41">
        <f>'Dia 7'!H22</f>
        <v>2</v>
      </c>
      <c r="H22" s="41">
        <f>'Dia 7'!M22</f>
        <v>14.9038</v>
      </c>
    </row>
    <row r="23" ht="15.75" customHeight="1">
      <c r="B23" s="25"/>
      <c r="C23" s="26">
        <v>25.0</v>
      </c>
      <c r="D23" s="41">
        <f>'Dia 7'!D23</f>
        <v>9.29</v>
      </c>
      <c r="E23" s="41">
        <f>'Dia 7'!E23</f>
        <v>33.3</v>
      </c>
      <c r="F23" s="41">
        <f>'Dia 7'!F23</f>
        <v>5.06</v>
      </c>
      <c r="G23" s="41">
        <f>'Dia 7'!H23</f>
        <v>595</v>
      </c>
      <c r="H23" s="41">
        <f>'Dia 7'!M23</f>
        <v>659.869</v>
      </c>
    </row>
    <row r="24" ht="15.75" customHeight="1">
      <c r="B24" s="25"/>
      <c r="C24" s="26">
        <v>50.0</v>
      </c>
      <c r="D24" s="41">
        <f>'Dia 7'!D24</f>
        <v>9.34</v>
      </c>
      <c r="E24" s="41">
        <f>'Dia 7'!E24</f>
        <v>60.3</v>
      </c>
      <c r="F24" s="41">
        <f>'Dia 7'!F24</f>
        <v>9.91</v>
      </c>
      <c r="G24" s="41">
        <f>'Dia 7'!H24</f>
        <v>2590</v>
      </c>
      <c r="H24" s="41">
        <f>'Dia 7'!M24</f>
        <v>2580.667</v>
      </c>
    </row>
    <row r="25" ht="15.75" customHeight="1">
      <c r="B25" s="25"/>
      <c r="C25" s="26">
        <v>75.0</v>
      </c>
      <c r="D25" s="41">
        <f>'Dia 7'!D25</f>
        <v>9.36</v>
      </c>
      <c r="E25" s="41">
        <f>'Dia 7'!E25</f>
        <v>79.3</v>
      </c>
      <c r="F25" s="41">
        <f>'Dia 7'!F25</f>
        <v>14.52</v>
      </c>
      <c r="G25" s="41">
        <f>'Dia 7'!H25</f>
        <v>1890</v>
      </c>
      <c r="H25" s="41">
        <f>'Dia 7'!M25</f>
        <v>1887.535</v>
      </c>
    </row>
    <row r="26" ht="15.75" customHeight="1">
      <c r="B26" s="10"/>
      <c r="C26" s="28">
        <v>100.0</v>
      </c>
      <c r="D26" s="41">
        <f>'Dia 7'!D26</f>
        <v>9.3</v>
      </c>
      <c r="E26" s="41">
        <f>'Dia 7'!E26</f>
        <v>95.5</v>
      </c>
      <c r="F26" s="41">
        <f>'Dia 7'!F26</f>
        <v>17.74</v>
      </c>
      <c r="G26" s="41">
        <f>'Dia 7'!H26</f>
        <v>2460</v>
      </c>
      <c r="H26" s="41">
        <f>'Dia 7'!M26</f>
        <v>2427.943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5" t="s">
        <v>5</v>
      </c>
      <c r="H2" s="6"/>
      <c r="I2" s="7" t="s">
        <v>6</v>
      </c>
      <c r="J2" s="6"/>
      <c r="K2" s="6"/>
      <c r="L2" s="6"/>
      <c r="M2" s="6"/>
    </row>
    <row r="3" ht="15.75" customHeight="1">
      <c r="B3" s="9"/>
      <c r="C3" s="10"/>
      <c r="D3" s="11"/>
      <c r="E3" s="11"/>
      <c r="F3" s="11"/>
      <c r="G3" s="12" t="s">
        <v>7</v>
      </c>
      <c r="H3" s="5" t="s">
        <v>8</v>
      </c>
      <c r="I3" s="13" t="s">
        <v>20</v>
      </c>
      <c r="J3" s="14" t="s">
        <v>21</v>
      </c>
      <c r="K3" s="15" t="s">
        <v>11</v>
      </c>
      <c r="L3" s="15" t="s">
        <v>8</v>
      </c>
      <c r="M3" s="16" t="s">
        <v>12</v>
      </c>
    </row>
    <row r="4" ht="15.75" customHeight="1">
      <c r="B4" s="17" t="s">
        <v>13</v>
      </c>
      <c r="C4" s="18">
        <v>0.0</v>
      </c>
      <c r="D4" s="19">
        <v>5.83</v>
      </c>
      <c r="E4" s="19">
        <v>2.07</v>
      </c>
      <c r="F4" s="19">
        <v>31.7</v>
      </c>
      <c r="G4" s="19">
        <v>39.0</v>
      </c>
      <c r="H4" s="20">
        <f>G4</f>
        <v>39</v>
      </c>
      <c r="I4" s="21">
        <v>0.023</v>
      </c>
      <c r="J4" s="22">
        <v>0.023</v>
      </c>
      <c r="K4" s="23">
        <f t="shared" ref="K4:K8" si="1">AVERAGE(I4:J4)</f>
        <v>0.023</v>
      </c>
      <c r="L4" s="23">
        <f>K4</f>
        <v>0.023</v>
      </c>
      <c r="M4" s="24">
        <f t="shared" ref="M4:M8" si="2">(2349.6*L4) - 3.893</f>
        <v>50.1478</v>
      </c>
    </row>
    <row r="5" ht="15.75" customHeight="1">
      <c r="B5" s="25"/>
      <c r="C5" s="26">
        <v>25.0</v>
      </c>
      <c r="D5" s="19">
        <v>8.65</v>
      </c>
      <c r="E5" s="19">
        <v>66.7</v>
      </c>
      <c r="F5" s="19">
        <v>4.01</v>
      </c>
      <c r="G5" s="34">
        <v>134.0</v>
      </c>
      <c r="H5" s="20">
        <f t="shared" ref="H5:H6" si="3">G5*10</f>
        <v>1340</v>
      </c>
      <c r="I5" s="21">
        <v>0.054</v>
      </c>
      <c r="J5" s="22">
        <v>0.058</v>
      </c>
      <c r="K5" s="23">
        <f t="shared" si="1"/>
        <v>0.056</v>
      </c>
      <c r="L5" s="23">
        <f t="shared" ref="L5:L6" si="4">K5*10</f>
        <v>0.56</v>
      </c>
      <c r="M5" s="24">
        <f t="shared" si="2"/>
        <v>1311.883</v>
      </c>
    </row>
    <row r="6" ht="15.75" customHeight="1">
      <c r="B6" s="25"/>
      <c r="C6" s="26">
        <v>50.0</v>
      </c>
      <c r="D6" s="27">
        <v>8.8</v>
      </c>
      <c r="E6" s="27">
        <v>111.0</v>
      </c>
      <c r="F6" s="27">
        <v>7.86</v>
      </c>
      <c r="G6" s="34">
        <v>280.0</v>
      </c>
      <c r="H6" s="20">
        <f t="shared" si="3"/>
        <v>2800</v>
      </c>
      <c r="I6" s="22">
        <v>0.106</v>
      </c>
      <c r="J6" s="22">
        <v>0.108</v>
      </c>
      <c r="K6" s="23">
        <f t="shared" si="1"/>
        <v>0.107</v>
      </c>
      <c r="L6" s="23">
        <f t="shared" si="4"/>
        <v>1.07</v>
      </c>
      <c r="M6" s="24">
        <f t="shared" si="2"/>
        <v>2510.179</v>
      </c>
    </row>
    <row r="7" ht="15.75" customHeight="1">
      <c r="B7" s="25"/>
      <c r="C7" s="26">
        <v>75.0</v>
      </c>
      <c r="D7" s="27">
        <v>8.88</v>
      </c>
      <c r="E7" s="27">
        <v>154.0</v>
      </c>
      <c r="F7" s="27">
        <v>12.28</v>
      </c>
      <c r="G7" s="46">
        <v>193.0</v>
      </c>
      <c r="H7" s="20">
        <f t="shared" ref="H7:H8" si="5">G7*20</f>
        <v>3860</v>
      </c>
      <c r="I7" s="22">
        <v>0.087</v>
      </c>
      <c r="J7" s="22">
        <v>0.093</v>
      </c>
      <c r="K7" s="23">
        <f t="shared" si="1"/>
        <v>0.09</v>
      </c>
      <c r="L7" s="23">
        <f t="shared" ref="L7:L8" si="6">K7*20</f>
        <v>1.8</v>
      </c>
      <c r="M7" s="24">
        <f t="shared" si="2"/>
        <v>4225.387</v>
      </c>
    </row>
    <row r="8" ht="15.75" customHeight="1">
      <c r="B8" s="10"/>
      <c r="C8" s="28">
        <v>100.0</v>
      </c>
      <c r="D8" s="27">
        <v>8.89</v>
      </c>
      <c r="E8" s="27">
        <v>168.0</v>
      </c>
      <c r="F8" s="27">
        <v>16.08</v>
      </c>
      <c r="G8" s="46">
        <v>263.0</v>
      </c>
      <c r="H8" s="20">
        <f t="shared" si="5"/>
        <v>5260</v>
      </c>
      <c r="I8" s="22">
        <v>0.124</v>
      </c>
      <c r="J8" s="22">
        <v>0.12</v>
      </c>
      <c r="K8" s="23">
        <f t="shared" si="1"/>
        <v>0.122</v>
      </c>
      <c r="L8" s="23">
        <f t="shared" si="6"/>
        <v>2.44</v>
      </c>
      <c r="M8" s="24">
        <f t="shared" si="2"/>
        <v>5729.131</v>
      </c>
    </row>
    <row r="9" ht="15.75" customHeight="1">
      <c r="B9" s="18"/>
      <c r="C9" s="10"/>
      <c r="D9" s="29"/>
      <c r="E9" s="6"/>
      <c r="F9" s="6"/>
      <c r="G9" s="6"/>
      <c r="H9" s="6"/>
      <c r="I9" s="6"/>
      <c r="J9" s="6"/>
      <c r="K9" s="6"/>
      <c r="L9" s="6"/>
      <c r="M9" s="30"/>
    </row>
    <row r="10" ht="15.75" customHeight="1">
      <c r="B10" s="31" t="s">
        <v>14</v>
      </c>
      <c r="C10" s="26">
        <v>0.0</v>
      </c>
      <c r="D10" s="27">
        <v>7.93</v>
      </c>
      <c r="E10" s="27">
        <v>1.97</v>
      </c>
      <c r="F10" s="27">
        <v>37.1</v>
      </c>
      <c r="G10" s="27">
        <v>0.0</v>
      </c>
      <c r="H10" s="34">
        <f>G10</f>
        <v>0</v>
      </c>
      <c r="I10" s="22">
        <v>0.015</v>
      </c>
      <c r="J10" s="22">
        <v>0.006</v>
      </c>
      <c r="K10" s="23">
        <f t="shared" ref="K10:K14" si="7">AVERAGE(I10:J10)</f>
        <v>0.0105</v>
      </c>
      <c r="L10" s="24">
        <f>K10</f>
        <v>0.0105</v>
      </c>
      <c r="M10" s="24">
        <f t="shared" ref="M10:M14" si="8">(2349.6*L10) - 3.893</f>
        <v>20.7778</v>
      </c>
    </row>
    <row r="11" ht="15.75" customHeight="1">
      <c r="B11" s="25"/>
      <c r="C11" s="26">
        <v>25.0</v>
      </c>
      <c r="D11" s="27">
        <v>8.65</v>
      </c>
      <c r="E11" s="27">
        <v>53.5</v>
      </c>
      <c r="F11" s="27">
        <v>4.06</v>
      </c>
      <c r="G11" s="27">
        <v>99.0</v>
      </c>
      <c r="H11" s="34">
        <f t="shared" ref="H11:H12" si="9">G11*10</f>
        <v>990</v>
      </c>
      <c r="I11" s="22">
        <v>0.051</v>
      </c>
      <c r="J11" s="22">
        <v>0.05</v>
      </c>
      <c r="K11" s="23">
        <f t="shared" si="7"/>
        <v>0.0505</v>
      </c>
      <c r="L11" s="24">
        <f t="shared" ref="L11:L12" si="10">K11*10</f>
        <v>0.505</v>
      </c>
      <c r="M11" s="24">
        <f t="shared" si="8"/>
        <v>1182.655</v>
      </c>
    </row>
    <row r="12" ht="15.75" customHeight="1">
      <c r="B12" s="25"/>
      <c r="C12" s="26">
        <v>50.0</v>
      </c>
      <c r="D12" s="27">
        <v>8.75</v>
      </c>
      <c r="E12" s="27">
        <v>100.0</v>
      </c>
      <c r="F12" s="27">
        <v>7.91</v>
      </c>
      <c r="G12" s="27">
        <v>254.0</v>
      </c>
      <c r="H12" s="34">
        <f t="shared" si="9"/>
        <v>2540</v>
      </c>
      <c r="I12" s="22">
        <v>0.096</v>
      </c>
      <c r="J12" s="22">
        <v>0.102</v>
      </c>
      <c r="K12" s="23">
        <f t="shared" si="7"/>
        <v>0.099</v>
      </c>
      <c r="L12" s="24">
        <f t="shared" si="10"/>
        <v>0.99</v>
      </c>
      <c r="M12" s="24">
        <f t="shared" si="8"/>
        <v>2322.211</v>
      </c>
    </row>
    <row r="13" ht="15.75" customHeight="1">
      <c r="B13" s="25"/>
      <c r="C13" s="26">
        <v>75.0</v>
      </c>
      <c r="D13" s="27">
        <v>8.73</v>
      </c>
      <c r="E13" s="27">
        <v>158.0</v>
      </c>
      <c r="F13" s="27">
        <v>12.07</v>
      </c>
      <c r="G13" s="27">
        <v>201.0</v>
      </c>
      <c r="H13" s="34">
        <f t="shared" ref="H13:H14" si="11">G13*20</f>
        <v>4020</v>
      </c>
      <c r="I13" s="22">
        <v>0.086</v>
      </c>
      <c r="J13" s="22">
        <v>0.079</v>
      </c>
      <c r="K13" s="23">
        <f t="shared" si="7"/>
        <v>0.0825</v>
      </c>
      <c r="L13" s="24">
        <f t="shared" ref="L13:L14" si="12">K13*20</f>
        <v>1.65</v>
      </c>
      <c r="M13" s="24">
        <f t="shared" si="8"/>
        <v>3872.947</v>
      </c>
    </row>
    <row r="14" ht="15.75" customHeight="1">
      <c r="B14" s="10"/>
      <c r="C14" s="28">
        <v>100.0</v>
      </c>
      <c r="D14" s="27">
        <v>8.9</v>
      </c>
      <c r="E14" s="27">
        <v>183.0</v>
      </c>
      <c r="F14" s="27">
        <v>15.84</v>
      </c>
      <c r="G14" s="27">
        <v>252.0</v>
      </c>
      <c r="H14" s="34">
        <f t="shared" si="11"/>
        <v>5040</v>
      </c>
      <c r="I14" s="22">
        <v>0.105</v>
      </c>
      <c r="J14" s="22">
        <v>0.104</v>
      </c>
      <c r="K14" s="23">
        <f t="shared" si="7"/>
        <v>0.1045</v>
      </c>
      <c r="L14" s="24">
        <f t="shared" si="12"/>
        <v>2.09</v>
      </c>
      <c r="M14" s="24">
        <f t="shared" si="8"/>
        <v>4906.771</v>
      </c>
    </row>
    <row r="15" ht="15.75" customHeight="1">
      <c r="B15" s="32"/>
      <c r="C15" s="10"/>
      <c r="D15" s="47"/>
      <c r="E15" s="6"/>
      <c r="F15" s="6"/>
      <c r="G15" s="6"/>
      <c r="H15" s="6"/>
      <c r="I15" s="6"/>
      <c r="J15" s="6"/>
      <c r="K15" s="6"/>
      <c r="L15" s="6"/>
      <c r="M15" s="30"/>
    </row>
    <row r="16" ht="15.75" customHeight="1">
      <c r="B16" s="33" t="s">
        <v>15</v>
      </c>
      <c r="C16" s="26">
        <v>0.0</v>
      </c>
      <c r="D16" s="27">
        <v>8.09</v>
      </c>
      <c r="E16" s="27">
        <v>2.96</v>
      </c>
      <c r="F16" s="27">
        <v>38.9</v>
      </c>
      <c r="G16" s="27">
        <v>40.0</v>
      </c>
      <c r="H16" s="34">
        <f>G16</f>
        <v>40</v>
      </c>
      <c r="I16" s="22">
        <v>0.022</v>
      </c>
      <c r="J16" s="22">
        <v>0.024</v>
      </c>
      <c r="K16" s="23">
        <f t="shared" ref="K16:K20" si="13">AVERAGE(I16:J16)</f>
        <v>0.023</v>
      </c>
      <c r="L16" s="23">
        <f>K16</f>
        <v>0.023</v>
      </c>
      <c r="M16" s="24">
        <f t="shared" ref="M16:M20" si="14">(2349.6*L16) - 3.893</f>
        <v>50.1478</v>
      </c>
    </row>
    <row r="17" ht="15.75" customHeight="1">
      <c r="B17" s="25"/>
      <c r="C17" s="26">
        <v>25.0</v>
      </c>
      <c r="D17" s="27">
        <v>8.66</v>
      </c>
      <c r="E17" s="27">
        <v>30.4</v>
      </c>
      <c r="F17" s="27">
        <v>4.44</v>
      </c>
      <c r="G17" s="27">
        <v>133.0</v>
      </c>
      <c r="H17" s="34">
        <f t="shared" ref="H17:H18" si="15">G17*10</f>
        <v>1330</v>
      </c>
      <c r="I17" s="22">
        <v>0.049</v>
      </c>
      <c r="J17" s="22">
        <v>0.047</v>
      </c>
      <c r="K17" s="23">
        <f t="shared" si="13"/>
        <v>0.048</v>
      </c>
      <c r="L17" s="23">
        <f t="shared" ref="L17:L18" si="16">K17*10</f>
        <v>0.48</v>
      </c>
      <c r="M17" s="24">
        <f t="shared" si="14"/>
        <v>1123.915</v>
      </c>
    </row>
    <row r="18" ht="15.75" customHeight="1">
      <c r="B18" s="25"/>
      <c r="C18" s="26">
        <v>50.0</v>
      </c>
      <c r="D18" s="27">
        <v>8.72</v>
      </c>
      <c r="E18" s="27">
        <v>55.2</v>
      </c>
      <c r="F18" s="27">
        <v>8.74</v>
      </c>
      <c r="G18" s="27">
        <v>274.0</v>
      </c>
      <c r="H18" s="34">
        <f t="shared" si="15"/>
        <v>2740</v>
      </c>
      <c r="I18" s="22">
        <v>0.101</v>
      </c>
      <c r="J18" s="22">
        <v>0.1</v>
      </c>
      <c r="K18" s="23">
        <f t="shared" si="13"/>
        <v>0.1005</v>
      </c>
      <c r="L18" s="23">
        <f t="shared" si="16"/>
        <v>1.005</v>
      </c>
      <c r="M18" s="24">
        <f t="shared" si="14"/>
        <v>2357.455</v>
      </c>
    </row>
    <row r="19" ht="15.75" customHeight="1">
      <c r="B19" s="25"/>
      <c r="C19" s="26">
        <v>75.0</v>
      </c>
      <c r="D19" s="27">
        <v>8.75</v>
      </c>
      <c r="E19" s="27">
        <v>88.3</v>
      </c>
      <c r="F19" s="27">
        <v>13.29</v>
      </c>
      <c r="G19" s="27">
        <v>206.0</v>
      </c>
      <c r="H19" s="34">
        <f t="shared" ref="H19:H20" si="17">G19*20</f>
        <v>4120</v>
      </c>
      <c r="I19" s="22">
        <v>0.08</v>
      </c>
      <c r="J19" s="22">
        <v>0.087</v>
      </c>
      <c r="K19" s="23">
        <f t="shared" si="13"/>
        <v>0.0835</v>
      </c>
      <c r="L19" s="23">
        <f t="shared" ref="L19:L20" si="18">K19*20</f>
        <v>1.67</v>
      </c>
      <c r="M19" s="24">
        <f t="shared" si="14"/>
        <v>3919.939</v>
      </c>
    </row>
    <row r="20" ht="15.75" customHeight="1">
      <c r="B20" s="10"/>
      <c r="C20" s="28">
        <v>100.0</v>
      </c>
      <c r="D20" s="27">
        <v>8.78</v>
      </c>
      <c r="E20" s="27">
        <v>108.0</v>
      </c>
      <c r="F20" s="27">
        <v>16.72</v>
      </c>
      <c r="G20" s="27">
        <v>269.0</v>
      </c>
      <c r="H20" s="34">
        <f t="shared" si="17"/>
        <v>5380</v>
      </c>
      <c r="I20" s="22">
        <v>0.111</v>
      </c>
      <c r="J20" s="22">
        <v>0.109</v>
      </c>
      <c r="K20" s="23">
        <f t="shared" si="13"/>
        <v>0.11</v>
      </c>
      <c r="L20" s="23">
        <f t="shared" si="18"/>
        <v>2.2</v>
      </c>
      <c r="M20" s="24">
        <f t="shared" si="14"/>
        <v>5165.227</v>
      </c>
    </row>
    <row r="21" ht="15.75" customHeight="1">
      <c r="B21" s="18"/>
      <c r="C21" s="10"/>
      <c r="D21" s="29"/>
      <c r="E21" s="6"/>
      <c r="F21" s="6"/>
      <c r="G21" s="6"/>
      <c r="H21" s="6"/>
      <c r="I21" s="6"/>
      <c r="J21" s="6"/>
      <c r="K21" s="6"/>
      <c r="L21" s="6"/>
      <c r="M21" s="30"/>
    </row>
    <row r="22" ht="15.75" customHeight="1">
      <c r="B22" s="35" t="s">
        <v>16</v>
      </c>
      <c r="C22" s="26">
        <v>0.0</v>
      </c>
      <c r="D22" s="27">
        <v>8.04</v>
      </c>
      <c r="E22" s="27">
        <v>1.62</v>
      </c>
      <c r="F22" s="27">
        <v>22.18</v>
      </c>
      <c r="G22" s="27">
        <v>1.0</v>
      </c>
      <c r="H22" s="34">
        <f>G22</f>
        <v>1</v>
      </c>
      <c r="I22" s="22">
        <v>0.012</v>
      </c>
      <c r="J22" s="22">
        <v>0.013</v>
      </c>
      <c r="K22" s="23">
        <f t="shared" ref="K22:K26" si="19">AVERAGE(I22:J22)</f>
        <v>0.0125</v>
      </c>
      <c r="L22" s="23">
        <f>K22</f>
        <v>0.0125</v>
      </c>
      <c r="M22" s="24">
        <f t="shared" ref="M22:M26" si="20">(2349.6*L22) - 3.893</f>
        <v>25.477</v>
      </c>
    </row>
    <row r="23" ht="15.75" customHeight="1">
      <c r="B23" s="25"/>
      <c r="C23" s="26">
        <v>25.0</v>
      </c>
      <c r="D23" s="27">
        <v>8.72</v>
      </c>
      <c r="E23" s="27">
        <v>30.8</v>
      </c>
      <c r="F23" s="27">
        <v>4.63</v>
      </c>
      <c r="G23" s="27">
        <v>133.0</v>
      </c>
      <c r="H23" s="34">
        <f t="shared" ref="H23:H24" si="21">G23*10</f>
        <v>1330</v>
      </c>
      <c r="I23" s="22">
        <v>0.046</v>
      </c>
      <c r="J23" s="22">
        <v>0.071</v>
      </c>
      <c r="K23" s="23">
        <f t="shared" si="19"/>
        <v>0.0585</v>
      </c>
      <c r="L23" s="23">
        <f t="shared" ref="L23:L24" si="22">K23*10</f>
        <v>0.585</v>
      </c>
      <c r="M23" s="24">
        <f t="shared" si="20"/>
        <v>1370.623</v>
      </c>
    </row>
    <row r="24" ht="15.75" customHeight="1">
      <c r="B24" s="25"/>
      <c r="C24" s="26">
        <v>50.0</v>
      </c>
      <c r="D24" s="27">
        <v>8.79</v>
      </c>
      <c r="E24" s="27">
        <v>63.5</v>
      </c>
      <c r="F24" s="27">
        <v>8.91</v>
      </c>
      <c r="G24" s="27">
        <v>274.0</v>
      </c>
      <c r="H24" s="34">
        <f t="shared" si="21"/>
        <v>2740</v>
      </c>
      <c r="I24" s="22">
        <v>0.104</v>
      </c>
      <c r="J24" s="22">
        <v>0.116</v>
      </c>
      <c r="K24" s="23">
        <f t="shared" si="19"/>
        <v>0.11</v>
      </c>
      <c r="L24" s="23">
        <f t="shared" si="22"/>
        <v>1.1</v>
      </c>
      <c r="M24" s="24">
        <f t="shared" si="20"/>
        <v>2580.667</v>
      </c>
    </row>
    <row r="25" ht="15.75" customHeight="1">
      <c r="B25" s="25"/>
      <c r="C25" s="26">
        <v>75.0</v>
      </c>
      <c r="D25" s="27">
        <v>8.8</v>
      </c>
      <c r="E25" s="27">
        <v>82.7</v>
      </c>
      <c r="F25" s="27">
        <v>13.3</v>
      </c>
      <c r="G25" s="27">
        <v>206.0</v>
      </c>
      <c r="H25" s="34">
        <f t="shared" ref="H25:H26" si="23">G25*20</f>
        <v>4120</v>
      </c>
      <c r="I25" s="22">
        <v>0.133</v>
      </c>
      <c r="J25" s="22">
        <v>0.089</v>
      </c>
      <c r="K25" s="23">
        <f t="shared" si="19"/>
        <v>0.111</v>
      </c>
      <c r="L25" s="23">
        <f t="shared" ref="L25:L26" si="24">K25*20</f>
        <v>2.22</v>
      </c>
      <c r="M25" s="24">
        <f t="shared" si="20"/>
        <v>5212.219</v>
      </c>
    </row>
    <row r="26" ht="15.75" customHeight="1">
      <c r="B26" s="10"/>
      <c r="C26" s="28">
        <v>100.0</v>
      </c>
      <c r="D26" s="27">
        <v>8.76</v>
      </c>
      <c r="E26" s="27">
        <v>106.0</v>
      </c>
      <c r="F26" s="27">
        <v>16.7</v>
      </c>
      <c r="G26" s="27">
        <v>269.0</v>
      </c>
      <c r="H26" s="34">
        <f t="shared" si="23"/>
        <v>5380</v>
      </c>
      <c r="I26" s="22">
        <v>0.119</v>
      </c>
      <c r="J26" s="22">
        <v>0.108</v>
      </c>
      <c r="K26" s="23">
        <f t="shared" si="19"/>
        <v>0.1135</v>
      </c>
      <c r="L26" s="23">
        <f t="shared" si="24"/>
        <v>2.27</v>
      </c>
      <c r="M26" s="24">
        <f t="shared" si="20"/>
        <v>5329.699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H2"/>
    <mergeCell ref="I2:M2"/>
    <mergeCell ref="B4:B8"/>
    <mergeCell ref="B16:B20"/>
    <mergeCell ref="B22:B26"/>
    <mergeCell ref="B9:C9"/>
    <mergeCell ref="D9:M9"/>
    <mergeCell ref="B10:B14"/>
    <mergeCell ref="B15:C15"/>
    <mergeCell ref="D15:M15"/>
    <mergeCell ref="B21:C21"/>
    <mergeCell ref="D21:M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0.63"/>
    <col customWidth="1" min="5" max="5" width="14.63"/>
    <col customWidth="1" min="6" max="6" width="20.63"/>
  </cols>
  <sheetData>
    <row r="1" ht="5.25" customHeight="1">
      <c r="A1" s="1" t="s">
        <v>17</v>
      </c>
    </row>
    <row r="2" ht="15.75" customHeight="1">
      <c r="B2" s="2" t="s">
        <v>1</v>
      </c>
      <c r="C2" s="3"/>
      <c r="D2" s="4" t="s">
        <v>2</v>
      </c>
      <c r="E2" s="4" t="s">
        <v>3</v>
      </c>
      <c r="F2" s="4" t="s">
        <v>4</v>
      </c>
      <c r="G2" s="36" t="s">
        <v>5</v>
      </c>
      <c r="H2" s="37" t="s">
        <v>6</v>
      </c>
      <c r="I2" s="8"/>
      <c r="J2" s="8"/>
      <c r="K2" s="8"/>
    </row>
    <row r="3" ht="15.75" customHeight="1">
      <c r="B3" s="9"/>
      <c r="C3" s="10"/>
      <c r="D3" s="11"/>
      <c r="E3" s="11"/>
      <c r="F3" s="11"/>
      <c r="G3" s="38"/>
      <c r="H3" s="11"/>
      <c r="I3" s="8"/>
      <c r="J3" s="8"/>
      <c r="K3" s="8"/>
    </row>
    <row r="4" ht="15.75" customHeight="1">
      <c r="B4" s="17" t="s">
        <v>13</v>
      </c>
      <c r="C4" s="18">
        <v>0.0</v>
      </c>
      <c r="D4" s="39">
        <f>'Dia 14'!D4</f>
        <v>5.83</v>
      </c>
      <c r="E4" s="39">
        <f>'Dia 14'!E4</f>
        <v>2.07</v>
      </c>
      <c r="F4" s="39">
        <f>'Dia 14'!F4</f>
        <v>31.7</v>
      </c>
      <c r="G4" s="39">
        <f>'Dia 14'!H4</f>
        <v>39</v>
      </c>
      <c r="H4" s="39">
        <f>'Dia 14'!M4</f>
        <v>50.1478</v>
      </c>
      <c r="I4" s="8"/>
      <c r="J4" s="8"/>
      <c r="K4" s="8"/>
    </row>
    <row r="5" ht="15.75" customHeight="1">
      <c r="B5" s="25"/>
      <c r="C5" s="26">
        <v>25.0</v>
      </c>
      <c r="D5" s="39">
        <f>'Dia 14'!D5</f>
        <v>8.65</v>
      </c>
      <c r="E5" s="39">
        <f>'Dia 14'!E5</f>
        <v>66.7</v>
      </c>
      <c r="F5" s="39">
        <f>'Dia 14'!F5</f>
        <v>4.01</v>
      </c>
      <c r="G5" s="39">
        <f>'Dia 14'!H5</f>
        <v>1340</v>
      </c>
      <c r="H5" s="39">
        <f>'Dia 14'!M5</f>
        <v>1311.883</v>
      </c>
      <c r="I5" s="8"/>
      <c r="J5" s="8"/>
      <c r="K5" s="8"/>
    </row>
    <row r="6" ht="15.75" customHeight="1">
      <c r="B6" s="25"/>
      <c r="C6" s="26">
        <v>50.0</v>
      </c>
      <c r="D6" s="39">
        <f>'Dia 14'!D6</f>
        <v>8.8</v>
      </c>
      <c r="E6" s="39">
        <f>'Dia 14'!E6</f>
        <v>111</v>
      </c>
      <c r="F6" s="39">
        <f>'Dia 14'!F6</f>
        <v>7.86</v>
      </c>
      <c r="G6" s="39">
        <f>'Dia 14'!H6</f>
        <v>2800</v>
      </c>
      <c r="H6" s="39">
        <f>'Dia 14'!M6</f>
        <v>2510.179</v>
      </c>
      <c r="I6" s="8"/>
      <c r="J6" s="8"/>
      <c r="K6" s="8"/>
    </row>
    <row r="7" ht="15.75" customHeight="1">
      <c r="B7" s="25"/>
      <c r="C7" s="26">
        <v>75.0</v>
      </c>
      <c r="D7" s="39">
        <f>'Dia 14'!D7</f>
        <v>8.88</v>
      </c>
      <c r="E7" s="39">
        <f>'Dia 14'!E7</f>
        <v>154</v>
      </c>
      <c r="F7" s="39">
        <f>'Dia 14'!F7</f>
        <v>12.28</v>
      </c>
      <c r="G7" s="39">
        <f>'Dia 14'!H7</f>
        <v>3860</v>
      </c>
      <c r="H7" s="39">
        <f>'Dia 14'!M7</f>
        <v>4225.387</v>
      </c>
      <c r="I7" s="8"/>
      <c r="J7" s="8"/>
      <c r="K7" s="8"/>
    </row>
    <row r="8" ht="15.75" customHeight="1">
      <c r="B8" s="10"/>
      <c r="C8" s="28">
        <v>100.0</v>
      </c>
      <c r="D8" s="39">
        <f>'Dia 14'!D8</f>
        <v>8.89</v>
      </c>
      <c r="E8" s="39">
        <f>'Dia 14'!E8</f>
        <v>168</v>
      </c>
      <c r="F8" s="39">
        <f>'Dia 14'!F8</f>
        <v>16.08</v>
      </c>
      <c r="G8" s="39">
        <f>'Dia 14'!H8</f>
        <v>5260</v>
      </c>
      <c r="H8" s="39">
        <f>'Dia 14'!M8</f>
        <v>5729.131</v>
      </c>
      <c r="I8" s="8"/>
      <c r="J8" s="8"/>
      <c r="K8" s="8"/>
    </row>
    <row r="9" ht="15.75" customHeight="1">
      <c r="B9" s="18"/>
      <c r="C9" s="10"/>
      <c r="D9" s="40"/>
      <c r="E9" s="6"/>
      <c r="F9" s="6"/>
      <c r="G9" s="6"/>
      <c r="H9" s="30"/>
      <c r="I9" s="8"/>
      <c r="J9" s="8"/>
      <c r="K9" s="8"/>
    </row>
    <row r="10" ht="15.75" customHeight="1">
      <c r="B10" s="31" t="s">
        <v>14</v>
      </c>
      <c r="C10" s="26">
        <v>0.0</v>
      </c>
      <c r="D10" s="41">
        <f>'Dia 14'!D10</f>
        <v>7.93</v>
      </c>
      <c r="E10" s="41">
        <f>'Dia 14'!E10</f>
        <v>1.97</v>
      </c>
      <c r="F10" s="41">
        <f>'Dia 14'!F10</f>
        <v>37.1</v>
      </c>
      <c r="G10" s="41">
        <f>'Dia 14'!H10</f>
        <v>0</v>
      </c>
      <c r="H10" s="41">
        <f>'Dia 14'!M10</f>
        <v>20.7778</v>
      </c>
      <c r="I10" s="8"/>
      <c r="J10" s="8"/>
      <c r="K10" s="8"/>
    </row>
    <row r="11" ht="15.75" customHeight="1">
      <c r="B11" s="25"/>
      <c r="C11" s="26">
        <v>25.0</v>
      </c>
      <c r="D11" s="41">
        <f>'Dia 14'!D11</f>
        <v>8.65</v>
      </c>
      <c r="E11" s="41">
        <f>'Dia 14'!E11</f>
        <v>53.5</v>
      </c>
      <c r="F11" s="41">
        <f>'Dia 14'!F11</f>
        <v>4.06</v>
      </c>
      <c r="G11" s="41">
        <f>'Dia 14'!H11</f>
        <v>990</v>
      </c>
      <c r="H11" s="41">
        <f>'Dia 14'!M11</f>
        <v>1182.655</v>
      </c>
    </row>
    <row r="12" ht="15.75" customHeight="1">
      <c r="B12" s="25"/>
      <c r="C12" s="26">
        <v>50.0</v>
      </c>
      <c r="D12" s="41">
        <f>'Dia 14'!D12</f>
        <v>8.75</v>
      </c>
      <c r="E12" s="41">
        <f>'Dia 14'!E12</f>
        <v>100</v>
      </c>
      <c r="F12" s="41">
        <f>'Dia 14'!F12</f>
        <v>7.91</v>
      </c>
      <c r="G12" s="41">
        <f>'Dia 14'!H12</f>
        <v>2540</v>
      </c>
      <c r="H12" s="41">
        <f>'Dia 14'!M12</f>
        <v>2322.211</v>
      </c>
    </row>
    <row r="13" ht="15.75" customHeight="1">
      <c r="B13" s="25"/>
      <c r="C13" s="26">
        <v>75.0</v>
      </c>
      <c r="D13" s="41">
        <f>'Dia 14'!D13</f>
        <v>8.73</v>
      </c>
      <c r="E13" s="41">
        <f>'Dia 14'!E13</f>
        <v>158</v>
      </c>
      <c r="F13" s="41">
        <f>'Dia 14'!F13</f>
        <v>12.07</v>
      </c>
      <c r="G13" s="41">
        <f>'Dia 14'!H13</f>
        <v>4020</v>
      </c>
      <c r="H13" s="41">
        <f>'Dia 14'!M13</f>
        <v>3872.947</v>
      </c>
    </row>
    <row r="14" ht="15.75" customHeight="1">
      <c r="B14" s="10"/>
      <c r="C14" s="28">
        <v>100.0</v>
      </c>
      <c r="D14" s="41">
        <f>'Dia 14'!D14</f>
        <v>8.9</v>
      </c>
      <c r="E14" s="41">
        <f>'Dia 14'!E14</f>
        <v>183</v>
      </c>
      <c r="F14" s="41">
        <f>'Dia 14'!F14</f>
        <v>15.84</v>
      </c>
      <c r="G14" s="41">
        <f>'Dia 14'!H14</f>
        <v>5040</v>
      </c>
      <c r="H14" s="41">
        <f>'Dia 14'!M14</f>
        <v>4906.771</v>
      </c>
    </row>
    <row r="15" ht="15.75" customHeight="1">
      <c r="B15" s="32"/>
      <c r="C15" s="10"/>
      <c r="D15" s="40"/>
      <c r="E15" s="6"/>
      <c r="F15" s="6"/>
      <c r="G15" s="6"/>
      <c r="H15" s="30"/>
    </row>
    <row r="16" ht="15.75" customHeight="1">
      <c r="B16" s="42" t="s">
        <v>18</v>
      </c>
      <c r="C16" s="26">
        <v>0.0</v>
      </c>
      <c r="D16" s="41">
        <f>'Dia 14'!D16</f>
        <v>8.09</v>
      </c>
      <c r="E16" s="41">
        <f>'Dia 14'!E16</f>
        <v>2.96</v>
      </c>
      <c r="F16" s="41">
        <f>'Dia 14'!F16</f>
        <v>38.9</v>
      </c>
      <c r="G16" s="41">
        <f>'Dia 14'!H16</f>
        <v>40</v>
      </c>
      <c r="H16" s="41">
        <f>'Dia 14'!M16</f>
        <v>50.1478</v>
      </c>
    </row>
    <row r="17" ht="15.75" customHeight="1">
      <c r="B17" s="25"/>
      <c r="C17" s="26">
        <v>25.0</v>
      </c>
      <c r="D17" s="41">
        <f>'Dia 14'!D17</f>
        <v>8.66</v>
      </c>
      <c r="E17" s="41">
        <f>'Dia 14'!E17</f>
        <v>30.4</v>
      </c>
      <c r="F17" s="41">
        <f>'Dia 14'!F17</f>
        <v>4.44</v>
      </c>
      <c r="G17" s="41">
        <f>'Dia 14'!H17</f>
        <v>1330</v>
      </c>
      <c r="H17" s="41">
        <f>'Dia 14'!M17</f>
        <v>1123.915</v>
      </c>
    </row>
    <row r="18" ht="15.75" customHeight="1">
      <c r="B18" s="25"/>
      <c r="C18" s="26">
        <v>50.0</v>
      </c>
      <c r="D18" s="41">
        <f>'Dia 14'!D18</f>
        <v>8.72</v>
      </c>
      <c r="E18" s="41">
        <f>'Dia 14'!E18</f>
        <v>55.2</v>
      </c>
      <c r="F18" s="41">
        <f>'Dia 14'!F18</f>
        <v>8.74</v>
      </c>
      <c r="G18" s="41">
        <f>'Dia 14'!H18</f>
        <v>2740</v>
      </c>
      <c r="H18" s="41">
        <f>'Dia 14'!M18</f>
        <v>2357.455</v>
      </c>
    </row>
    <row r="19" ht="15.75" customHeight="1">
      <c r="B19" s="25"/>
      <c r="C19" s="26">
        <v>75.0</v>
      </c>
      <c r="D19" s="41">
        <f>'Dia 14'!D19</f>
        <v>8.75</v>
      </c>
      <c r="E19" s="41">
        <f>'Dia 14'!E19</f>
        <v>88.3</v>
      </c>
      <c r="F19" s="41">
        <f>'Dia 14'!F19</f>
        <v>13.29</v>
      </c>
      <c r="G19" s="41">
        <f>'Dia 14'!H19</f>
        <v>4120</v>
      </c>
      <c r="H19" s="41">
        <f>'Dia 14'!M19</f>
        <v>3919.939</v>
      </c>
    </row>
    <row r="20" ht="15.75" customHeight="1">
      <c r="B20" s="10"/>
      <c r="C20" s="28">
        <v>100.0</v>
      </c>
      <c r="D20" s="41">
        <f>'Dia 14'!D20</f>
        <v>8.78</v>
      </c>
      <c r="E20" s="41">
        <f>'Dia 14'!E20</f>
        <v>108</v>
      </c>
      <c r="F20" s="41">
        <f>'Dia 14'!F20</f>
        <v>16.72</v>
      </c>
      <c r="G20" s="41">
        <f>'Dia 14'!H20</f>
        <v>5380</v>
      </c>
      <c r="H20" s="41">
        <f>'Dia 14'!M20</f>
        <v>5165.227</v>
      </c>
    </row>
    <row r="21" ht="15.75" customHeight="1">
      <c r="B21" s="18"/>
      <c r="C21" s="10"/>
      <c r="D21" s="40"/>
      <c r="E21" s="6"/>
      <c r="F21" s="6"/>
      <c r="G21" s="6"/>
      <c r="H21" s="30"/>
    </row>
    <row r="22" ht="15.75" customHeight="1">
      <c r="B22" s="35" t="s">
        <v>19</v>
      </c>
      <c r="C22" s="26">
        <v>0.0</v>
      </c>
      <c r="D22" s="41">
        <f>'Dia 14'!D22</f>
        <v>8.04</v>
      </c>
      <c r="E22" s="41">
        <f>'Dia 14'!E22</f>
        <v>1.62</v>
      </c>
      <c r="F22" s="41">
        <f>'Dia 14'!F22</f>
        <v>22.18</v>
      </c>
      <c r="G22" s="41">
        <f>'Dia 14'!H22</f>
        <v>1</v>
      </c>
      <c r="H22" s="41">
        <f>'Dia 14'!M22</f>
        <v>25.477</v>
      </c>
    </row>
    <row r="23" ht="15.75" customHeight="1">
      <c r="B23" s="25"/>
      <c r="C23" s="26">
        <v>25.0</v>
      </c>
      <c r="D23" s="41">
        <f>'Dia 14'!D23</f>
        <v>8.72</v>
      </c>
      <c r="E23" s="41">
        <f>'Dia 14'!E23</f>
        <v>30.8</v>
      </c>
      <c r="F23" s="41">
        <f>'Dia 14'!F23</f>
        <v>4.63</v>
      </c>
      <c r="G23" s="41">
        <f>'Dia 14'!H23</f>
        <v>1330</v>
      </c>
      <c r="H23" s="41">
        <f>'Dia 14'!M23</f>
        <v>1370.623</v>
      </c>
    </row>
    <row r="24" ht="15.75" customHeight="1">
      <c r="B24" s="25"/>
      <c r="C24" s="26">
        <v>50.0</v>
      </c>
      <c r="D24" s="41">
        <f>'Dia 14'!D24</f>
        <v>8.79</v>
      </c>
      <c r="E24" s="41">
        <f>'Dia 14'!E24</f>
        <v>63.5</v>
      </c>
      <c r="F24" s="41">
        <f>'Dia 14'!F24</f>
        <v>8.91</v>
      </c>
      <c r="G24" s="41">
        <f>'Dia 14'!H24</f>
        <v>2740</v>
      </c>
      <c r="H24" s="41">
        <f>'Dia 14'!M24</f>
        <v>2580.667</v>
      </c>
    </row>
    <row r="25" ht="15.75" customHeight="1">
      <c r="B25" s="25"/>
      <c r="C25" s="26">
        <v>75.0</v>
      </c>
      <c r="D25" s="41">
        <f>'Dia 14'!D25</f>
        <v>8.8</v>
      </c>
      <c r="E25" s="41">
        <f>'Dia 14'!E25</f>
        <v>82.7</v>
      </c>
      <c r="F25" s="41">
        <f>'Dia 14'!F25</f>
        <v>13.3</v>
      </c>
      <c r="G25" s="41">
        <f>'Dia 14'!H25</f>
        <v>4120</v>
      </c>
      <c r="H25" s="41">
        <f>'Dia 14'!M25</f>
        <v>5212.219</v>
      </c>
    </row>
    <row r="26" ht="15.75" customHeight="1">
      <c r="B26" s="10"/>
      <c r="C26" s="28">
        <v>100.0</v>
      </c>
      <c r="D26" s="41">
        <f>'Dia 14'!D26</f>
        <v>8.76</v>
      </c>
      <c r="E26" s="41">
        <f>'Dia 14'!E26</f>
        <v>106</v>
      </c>
      <c r="F26" s="41">
        <f>'Dia 14'!F26</f>
        <v>16.7</v>
      </c>
      <c r="G26" s="41">
        <f>'Dia 14'!H26</f>
        <v>5380</v>
      </c>
      <c r="H26" s="41">
        <f>'Dia 14'!M26</f>
        <v>5329.699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">
    <mergeCell ref="B2:C3"/>
    <mergeCell ref="D2:D3"/>
    <mergeCell ref="E2:E3"/>
    <mergeCell ref="F2:F3"/>
    <mergeCell ref="G2:G3"/>
    <mergeCell ref="H2:H3"/>
    <mergeCell ref="B4:B8"/>
    <mergeCell ref="B16:B20"/>
    <mergeCell ref="B22:B26"/>
    <mergeCell ref="B9:C9"/>
    <mergeCell ref="D9:H9"/>
    <mergeCell ref="B10:B14"/>
    <mergeCell ref="B15:C15"/>
    <mergeCell ref="D15:H15"/>
    <mergeCell ref="B21:C21"/>
    <mergeCell ref="D21:H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0.75"/>
    <col customWidth="1" min="12" max="15" width="14.13"/>
    <col customWidth="1" min="23" max="23" width="15.0"/>
  </cols>
  <sheetData>
    <row r="1" ht="1.5" customHeight="1"/>
    <row r="2">
      <c r="B2" s="2" t="s">
        <v>1</v>
      </c>
      <c r="C2" s="3"/>
      <c r="D2" s="48" t="s">
        <v>22</v>
      </c>
      <c r="E2" s="49" t="s">
        <v>23</v>
      </c>
      <c r="F2" s="49" t="s">
        <v>24</v>
      </c>
      <c r="G2" s="50" t="s">
        <v>25</v>
      </c>
      <c r="H2" s="51" t="s">
        <v>22</v>
      </c>
      <c r="I2" s="52" t="s">
        <v>23</v>
      </c>
      <c r="J2" s="52" t="s">
        <v>24</v>
      </c>
      <c r="K2" s="53" t="s">
        <v>25</v>
      </c>
      <c r="L2" s="54" t="s">
        <v>22</v>
      </c>
      <c r="M2" s="55" t="s">
        <v>23</v>
      </c>
      <c r="N2" s="55" t="s">
        <v>24</v>
      </c>
      <c r="O2" s="56" t="s">
        <v>25</v>
      </c>
      <c r="P2" s="57" t="s">
        <v>22</v>
      </c>
      <c r="Q2" s="58" t="s">
        <v>23</v>
      </c>
      <c r="R2" s="58" t="s">
        <v>24</v>
      </c>
      <c r="S2" s="59" t="s">
        <v>25</v>
      </c>
      <c r="T2" s="60" t="s">
        <v>22</v>
      </c>
      <c r="U2" s="61" t="s">
        <v>23</v>
      </c>
      <c r="V2" s="61" t="s">
        <v>24</v>
      </c>
      <c r="W2" s="62" t="s">
        <v>26</v>
      </c>
    </row>
    <row r="3">
      <c r="C3" s="25"/>
      <c r="D3" s="63" t="s">
        <v>2</v>
      </c>
      <c r="E3" s="64"/>
      <c r="F3" s="3"/>
      <c r="G3" s="25"/>
      <c r="H3" s="65" t="s">
        <v>27</v>
      </c>
      <c r="I3" s="64"/>
      <c r="J3" s="3"/>
      <c r="K3" s="66"/>
      <c r="L3" s="67" t="s">
        <v>28</v>
      </c>
      <c r="M3" s="64"/>
      <c r="N3" s="3"/>
      <c r="O3" s="25"/>
      <c r="P3" s="68" t="s">
        <v>5</v>
      </c>
      <c r="Q3" s="64"/>
      <c r="R3" s="3"/>
      <c r="S3" s="25"/>
      <c r="T3" s="69" t="s">
        <v>6</v>
      </c>
      <c r="U3" s="64"/>
      <c r="V3" s="3"/>
      <c r="W3" s="66"/>
    </row>
    <row r="4">
      <c r="B4" s="9"/>
      <c r="C4" s="10"/>
      <c r="D4" s="38"/>
      <c r="E4" s="9"/>
      <c r="F4" s="10"/>
      <c r="G4" s="10"/>
      <c r="H4" s="38"/>
      <c r="I4" s="9"/>
      <c r="J4" s="10"/>
      <c r="K4" s="11"/>
      <c r="L4" s="38"/>
      <c r="M4" s="9"/>
      <c r="N4" s="10"/>
      <c r="O4" s="10"/>
      <c r="P4" s="38"/>
      <c r="Q4" s="9"/>
      <c r="R4" s="10"/>
      <c r="S4" s="10"/>
      <c r="T4" s="38"/>
      <c r="U4" s="9"/>
      <c r="V4" s="10"/>
      <c r="W4" s="11"/>
    </row>
    <row r="5">
      <c r="B5" s="37" t="s">
        <v>13</v>
      </c>
      <c r="C5" s="7">
        <v>0.0</v>
      </c>
      <c r="D5" s="70">
        <f>'Dia 0'!D4</f>
        <v>5.87</v>
      </c>
      <c r="E5" s="71">
        <f>'Dia 7'!D4</f>
        <v>8.85</v>
      </c>
      <c r="F5" s="71">
        <f>'Dia 14'!D4</f>
        <v>5.83</v>
      </c>
      <c r="G5" s="72">
        <f t="shared" ref="G5:G9" si="1">((D5-F5)/D5)*100</f>
        <v>0.6814310051</v>
      </c>
      <c r="H5" s="71">
        <f>'Dia 0'!E4</f>
        <v>0.86</v>
      </c>
      <c r="I5" s="71">
        <f>'Dia 7'!E4</f>
        <v>0.061</v>
      </c>
      <c r="J5" s="71">
        <f>'Dia 14'!E4</f>
        <v>2.07</v>
      </c>
      <c r="K5" s="73">
        <f t="shared" ref="K5:K9" si="2">((H5-J5)/H5)*100</f>
        <v>-140.6976744</v>
      </c>
      <c r="L5" s="71">
        <f>'Dia 0'!F4</f>
        <v>11.83</v>
      </c>
      <c r="M5" s="71">
        <f>'Dia 7'!F4</f>
        <v>37.4</v>
      </c>
      <c r="N5" s="71">
        <f>'Dia 14'!F4</f>
        <v>31.7</v>
      </c>
      <c r="O5" s="72">
        <f t="shared" ref="O5:O9" si="3">((L5-N5)/L5)*100</f>
        <v>-167.9628064</v>
      </c>
      <c r="P5" s="71">
        <f>'Dia 0'!H4</f>
        <v>0</v>
      </c>
      <c r="Q5" s="71">
        <f>'Dia 7'!H4</f>
        <v>51</v>
      </c>
      <c r="R5" s="71">
        <f>'Dia 14'!H4</f>
        <v>39</v>
      </c>
      <c r="S5" s="72" t="str">
        <f t="shared" ref="S5:S9" si="4">((P5-R5)/P5)*100</f>
        <v>#DIV/0!</v>
      </c>
      <c r="T5" s="71">
        <f>'Dia 0'!M4</f>
        <v>7.855</v>
      </c>
      <c r="U5" s="71">
        <f>'Dia 7'!M4</f>
        <v>85.3918</v>
      </c>
      <c r="V5" s="74">
        <f>'Dia 14'!M4</f>
        <v>50.1478</v>
      </c>
      <c r="W5" s="75">
        <f t="shared" ref="W5:W9" si="5">((T5-V5)/T5)*100</f>
        <v>-538.4188415</v>
      </c>
    </row>
    <row r="6">
      <c r="B6" s="66"/>
      <c r="C6" s="7">
        <v>25.0</v>
      </c>
      <c r="D6" s="76">
        <f>'Dia 0'!D5</f>
        <v>9.15</v>
      </c>
      <c r="E6" s="77">
        <f>'Dia 7'!D5</f>
        <v>9.25</v>
      </c>
      <c r="F6" s="77">
        <f>'Dia 14'!D5</f>
        <v>8.65</v>
      </c>
      <c r="G6" s="78">
        <f t="shared" si="1"/>
        <v>5.464480874</v>
      </c>
      <c r="H6" s="77">
        <f>'Dia 0'!E5</f>
        <v>56.2</v>
      </c>
      <c r="I6" s="77">
        <f>'Dia 7'!E5</f>
        <v>65.5</v>
      </c>
      <c r="J6" s="77">
        <f>'Dia 14'!E5</f>
        <v>66.7</v>
      </c>
      <c r="K6" s="79">
        <f t="shared" si="2"/>
        <v>-18.68327402</v>
      </c>
      <c r="L6" s="77">
        <f>'Dia 0'!F5</f>
        <v>5.92</v>
      </c>
      <c r="M6" s="77">
        <f>'Dia 7'!F5</f>
        <v>4.5</v>
      </c>
      <c r="N6" s="77">
        <f>'Dia 14'!F5</f>
        <v>4.01</v>
      </c>
      <c r="O6" s="78">
        <f t="shared" si="3"/>
        <v>32.26351351</v>
      </c>
      <c r="P6" s="77">
        <f>'Dia 0'!H5</f>
        <v>1560</v>
      </c>
      <c r="Q6" s="77">
        <f>'Dia 7'!H5</f>
        <v>685</v>
      </c>
      <c r="R6" s="77">
        <f>'Dia 14'!H5</f>
        <v>1340</v>
      </c>
      <c r="S6" s="78">
        <f t="shared" si="4"/>
        <v>14.1025641</v>
      </c>
      <c r="T6" s="77">
        <f>'Dia 0'!M5</f>
        <v>1511.599</v>
      </c>
      <c r="U6" s="77">
        <f>'Dia 7'!M5</f>
        <v>618.751</v>
      </c>
      <c r="V6" s="80">
        <f>'Dia 14'!M5</f>
        <v>1311.883</v>
      </c>
      <c r="W6" s="81">
        <f t="shared" si="5"/>
        <v>13.2122342</v>
      </c>
    </row>
    <row r="7">
      <c r="B7" s="66"/>
      <c r="C7" s="7">
        <v>50.0</v>
      </c>
      <c r="D7" s="76">
        <f>'Dia 0'!D6</f>
        <v>9.24</v>
      </c>
      <c r="E7" s="77">
        <f>'Dia 7'!D6</f>
        <v>9.37</v>
      </c>
      <c r="F7" s="77">
        <f>'Dia 14'!D6</f>
        <v>8.8</v>
      </c>
      <c r="G7" s="78">
        <f t="shared" si="1"/>
        <v>4.761904762</v>
      </c>
      <c r="H7" s="77">
        <f>'Dia 0'!E6</f>
        <v>106</v>
      </c>
      <c r="I7" s="77">
        <f>'Dia 7'!E6</f>
        <v>107</v>
      </c>
      <c r="J7" s="77">
        <f>'Dia 14'!E6</f>
        <v>111</v>
      </c>
      <c r="K7" s="79">
        <f t="shared" si="2"/>
        <v>-4.716981132</v>
      </c>
      <c r="L7" s="77">
        <f>'Dia 0'!F6</f>
        <v>10.78</v>
      </c>
      <c r="M7" s="77">
        <f>'Dia 7'!F6</f>
        <v>8.48</v>
      </c>
      <c r="N7" s="77">
        <f>'Dia 14'!F6</f>
        <v>7.86</v>
      </c>
      <c r="O7" s="78">
        <f t="shared" si="3"/>
        <v>27.08719852</v>
      </c>
      <c r="P7" s="77">
        <f>'Dia 0'!H6</f>
        <v>2980</v>
      </c>
      <c r="Q7" s="77">
        <f>'Dia 7'!H6</f>
        <v>2780</v>
      </c>
      <c r="R7" s="77">
        <f>'Dia 14'!H6</f>
        <v>2800</v>
      </c>
      <c r="S7" s="78">
        <f t="shared" si="4"/>
        <v>6.040268456</v>
      </c>
      <c r="T7" s="77">
        <f>'Dia 0'!M6</f>
        <v>3015.343</v>
      </c>
      <c r="U7" s="77">
        <f>'Dia 7'!M6</f>
        <v>2369.203</v>
      </c>
      <c r="V7" s="80">
        <f>'Dia 14'!M6</f>
        <v>2510.179</v>
      </c>
      <c r="W7" s="81">
        <f t="shared" si="5"/>
        <v>16.75311897</v>
      </c>
    </row>
    <row r="8">
      <c r="B8" s="66"/>
      <c r="C8" s="7">
        <v>75.0</v>
      </c>
      <c r="D8" s="76">
        <f>'Dia 0'!D7</f>
        <v>9.26</v>
      </c>
      <c r="E8" s="77">
        <f>'Dia 7'!D7</f>
        <v>9.44</v>
      </c>
      <c r="F8" s="77">
        <f>'Dia 14'!D7</f>
        <v>8.88</v>
      </c>
      <c r="G8" s="78">
        <f t="shared" si="1"/>
        <v>4.103671706</v>
      </c>
      <c r="H8" s="77">
        <f>'Dia 0'!E7</f>
        <v>108</v>
      </c>
      <c r="I8" s="77">
        <f>'Dia 7'!E7</f>
        <v>143</v>
      </c>
      <c r="J8" s="77">
        <f>'Dia 14'!E7</f>
        <v>154</v>
      </c>
      <c r="K8" s="79">
        <f t="shared" si="2"/>
        <v>-42.59259259</v>
      </c>
      <c r="L8" s="77">
        <f>'Dia 0'!F7</f>
        <v>15.2</v>
      </c>
      <c r="M8" s="77">
        <f>'Dia 7'!F7</f>
        <v>13.36</v>
      </c>
      <c r="N8" s="77">
        <f>'Dia 14'!F7</f>
        <v>12.28</v>
      </c>
      <c r="O8" s="78">
        <f t="shared" si="3"/>
        <v>19.21052632</v>
      </c>
      <c r="P8" s="77">
        <f>'Dia 0'!H7</f>
        <v>4240</v>
      </c>
      <c r="Q8" s="77">
        <f>'Dia 7'!H7</f>
        <v>1930</v>
      </c>
      <c r="R8" s="77">
        <f>'Dia 14'!H7</f>
        <v>3860</v>
      </c>
      <c r="S8" s="78">
        <f t="shared" si="4"/>
        <v>8.962264151</v>
      </c>
      <c r="T8" s="77">
        <f>'Dia 0'!M7</f>
        <v>3919.939</v>
      </c>
      <c r="U8" s="77">
        <f>'Dia 7'!M7</f>
        <v>1946.275</v>
      </c>
      <c r="V8" s="80">
        <f>'Dia 14'!M7</f>
        <v>4225.387</v>
      </c>
      <c r="W8" s="81">
        <f t="shared" si="5"/>
        <v>-7.792162072</v>
      </c>
    </row>
    <row r="9">
      <c r="B9" s="11"/>
      <c r="C9" s="82">
        <v>100.0</v>
      </c>
      <c r="D9" s="83">
        <f>'Dia 0'!D8</f>
        <v>9.27</v>
      </c>
      <c r="E9" s="84">
        <f>'Dia 7'!D8</f>
        <v>9.44</v>
      </c>
      <c r="F9" s="84">
        <f>'Dia 14'!D8</f>
        <v>8.89</v>
      </c>
      <c r="G9" s="78">
        <f t="shared" si="1"/>
        <v>4.099244876</v>
      </c>
      <c r="H9" s="84">
        <f>'Dia 0'!E8</f>
        <v>152</v>
      </c>
      <c r="I9" s="77">
        <f>'Dia 7'!E8</f>
        <v>156</v>
      </c>
      <c r="J9" s="77">
        <f>'Dia 14'!E8</f>
        <v>168</v>
      </c>
      <c r="K9" s="79">
        <f t="shared" si="2"/>
        <v>-10.52631579</v>
      </c>
      <c r="L9" s="77">
        <f>'Dia 0'!F8</f>
        <v>19.67</v>
      </c>
      <c r="M9" s="77">
        <f>'Dia 7'!F8</f>
        <v>17.64</v>
      </c>
      <c r="N9" s="77">
        <f>'Dia 14'!F8</f>
        <v>16.08</v>
      </c>
      <c r="O9" s="78">
        <f t="shared" si="3"/>
        <v>18.25114387</v>
      </c>
      <c r="P9" s="77">
        <f>'Dia 0'!H8</f>
        <v>5780</v>
      </c>
      <c r="Q9" s="77">
        <f>'Dia 7'!H8</f>
        <v>2550</v>
      </c>
      <c r="R9" s="77">
        <f>'Dia 14'!H8</f>
        <v>5260</v>
      </c>
      <c r="S9" s="78">
        <f t="shared" si="4"/>
        <v>8.996539792</v>
      </c>
      <c r="T9" s="77">
        <f>'Dia 0'!M8</f>
        <v>5188.723</v>
      </c>
      <c r="U9" s="77">
        <f>'Dia 7'!M8</f>
        <v>2533.675</v>
      </c>
      <c r="V9" s="80">
        <f>'Dia 14'!M8</f>
        <v>5729.131</v>
      </c>
      <c r="W9" s="81">
        <f t="shared" si="5"/>
        <v>-10.41504817</v>
      </c>
    </row>
    <row r="10">
      <c r="B10" s="7"/>
      <c r="C10" s="30"/>
      <c r="D10" s="7"/>
      <c r="E10" s="6"/>
      <c r="F10" s="6"/>
      <c r="G10" s="30"/>
      <c r="H10" s="26"/>
      <c r="I10" s="6"/>
      <c r="J10" s="6"/>
      <c r="K10" s="30"/>
      <c r="L10" s="26"/>
      <c r="M10" s="6"/>
      <c r="N10" s="6"/>
      <c r="O10" s="30"/>
      <c r="P10" s="26" t="str">
        <f>'Dia 0'!H9</f>
        <v/>
      </c>
      <c r="Q10" s="6"/>
      <c r="R10" s="6"/>
      <c r="S10" s="30"/>
      <c r="T10" s="85" t="str">
        <f>'Dia 0'!M9</f>
        <v/>
      </c>
      <c r="U10" s="6"/>
      <c r="V10" s="6"/>
      <c r="W10" s="30"/>
    </row>
    <row r="11">
      <c r="B11" s="86" t="s">
        <v>14</v>
      </c>
      <c r="C11" s="7">
        <v>0.0</v>
      </c>
      <c r="D11" s="87">
        <f>'Dia 0'!D10</f>
        <v>5.87</v>
      </c>
      <c r="E11" s="74">
        <f>'Dia 7'!D10</f>
        <v>8.47</v>
      </c>
      <c r="F11" s="74">
        <f>'Dia 14'!D10</f>
        <v>7.93</v>
      </c>
      <c r="G11" s="78">
        <f t="shared" ref="G11:G15" si="6">((D11-F11)/D11)*100</f>
        <v>-35.09369676</v>
      </c>
      <c r="H11" s="77">
        <f>'Dia 0'!E10</f>
        <v>0.86</v>
      </c>
      <c r="I11" s="80">
        <f>'Dia 7'!E10</f>
        <v>0</v>
      </c>
      <c r="J11" s="80">
        <f>'Dia 14'!E10</f>
        <v>1.97</v>
      </c>
      <c r="K11" s="79">
        <f t="shared" ref="K11:K15" si="7">((H11-J11)/H11)*100</f>
        <v>-129.0697674</v>
      </c>
      <c r="L11" s="77">
        <f>'Dia 0'!F10</f>
        <v>11.83</v>
      </c>
      <c r="M11" s="80">
        <f>'Dia 7'!F10</f>
        <v>20.2</v>
      </c>
      <c r="N11" s="80">
        <f>'Dia 14'!F10</f>
        <v>37.1</v>
      </c>
      <c r="O11" s="78">
        <f t="shared" ref="O11:O15" si="8">((L11-N11)/L11)*100</f>
        <v>-213.6094675</v>
      </c>
      <c r="P11" s="77">
        <f>'Dia 0'!H10</f>
        <v>0</v>
      </c>
      <c r="Q11" s="80">
        <f>'Dia 7'!H10</f>
        <v>2</v>
      </c>
      <c r="R11" s="80">
        <f>'Dia 14'!H10</f>
        <v>0</v>
      </c>
      <c r="S11" s="78" t="str">
        <f t="shared" ref="S11:S15" si="9">((P11-R11)/P11)*100</f>
        <v>#DIV/0!</v>
      </c>
      <c r="T11" s="77">
        <f>'Dia 0'!M10</f>
        <v>7.855</v>
      </c>
      <c r="U11" s="80">
        <f>'Dia 7'!M10</f>
        <v>14.9038</v>
      </c>
      <c r="V11" s="80">
        <f>'Dia 14'!M10</f>
        <v>20.7778</v>
      </c>
      <c r="W11" s="81">
        <f t="shared" ref="W11:W15" si="10">((T11-V11)/T11)*100</f>
        <v>-164.5168682</v>
      </c>
    </row>
    <row r="12">
      <c r="B12" s="66"/>
      <c r="C12" s="7">
        <v>25.0</v>
      </c>
      <c r="D12" s="88">
        <f>'Dia 0'!D11</f>
        <v>9.15</v>
      </c>
      <c r="E12" s="80">
        <f>'Dia 7'!D11</f>
        <v>9.26</v>
      </c>
      <c r="F12" s="80">
        <f>'Dia 14'!D11</f>
        <v>8.65</v>
      </c>
      <c r="G12" s="78">
        <f t="shared" si="6"/>
        <v>5.464480874</v>
      </c>
      <c r="H12" s="77">
        <f>'Dia 0'!E11</f>
        <v>56.2</v>
      </c>
      <c r="I12" s="80">
        <f>'Dia 7'!E11</f>
        <v>49.8</v>
      </c>
      <c r="J12" s="80">
        <f>'Dia 14'!E11</f>
        <v>53.5</v>
      </c>
      <c r="K12" s="79">
        <f t="shared" si="7"/>
        <v>4.804270463</v>
      </c>
      <c r="L12" s="77">
        <f>'Dia 0'!F11</f>
        <v>5.92</v>
      </c>
      <c r="M12" s="80">
        <f>'Dia 7'!F11</f>
        <v>4.37</v>
      </c>
      <c r="N12" s="80">
        <f>'Dia 14'!F11</f>
        <v>4.06</v>
      </c>
      <c r="O12" s="78">
        <f t="shared" si="8"/>
        <v>31.41891892</v>
      </c>
      <c r="P12" s="77">
        <f>'Dia 0'!H11</f>
        <v>1560</v>
      </c>
      <c r="Q12" s="80">
        <f>'Dia 7'!H11</f>
        <v>495</v>
      </c>
      <c r="R12" s="80">
        <f>'Dia 14'!H11</f>
        <v>990</v>
      </c>
      <c r="S12" s="78">
        <f t="shared" si="9"/>
        <v>36.53846154</v>
      </c>
      <c r="T12" s="77">
        <f>'Dia 0'!M11</f>
        <v>1511.599</v>
      </c>
      <c r="U12" s="80">
        <f>'Dia 7'!M11</f>
        <v>589.381</v>
      </c>
      <c r="V12" s="80">
        <f>'Dia 14'!M11</f>
        <v>1182.655</v>
      </c>
      <c r="W12" s="81">
        <f t="shared" si="10"/>
        <v>21.76132691</v>
      </c>
    </row>
    <row r="13">
      <c r="B13" s="66"/>
      <c r="C13" s="7">
        <v>50.0</v>
      </c>
      <c r="D13" s="88">
        <f>'Dia 0'!D12</f>
        <v>9.24</v>
      </c>
      <c r="E13" s="80">
        <f>'Dia 7'!D12</f>
        <v>9.38</v>
      </c>
      <c r="F13" s="80">
        <f>'Dia 14'!D12</f>
        <v>8.75</v>
      </c>
      <c r="G13" s="78">
        <f t="shared" si="6"/>
        <v>5.303030303</v>
      </c>
      <c r="H13" s="77">
        <f>'Dia 0'!E12</f>
        <v>106</v>
      </c>
      <c r="I13" s="80">
        <f>'Dia 7'!E12</f>
        <v>86.6</v>
      </c>
      <c r="J13" s="80">
        <f>'Dia 14'!E12</f>
        <v>100</v>
      </c>
      <c r="K13" s="79">
        <f t="shared" si="7"/>
        <v>5.660377358</v>
      </c>
      <c r="L13" s="77">
        <f>'Dia 0'!F12</f>
        <v>10.78</v>
      </c>
      <c r="M13" s="80">
        <f>'Dia 7'!F12</f>
        <v>8.41</v>
      </c>
      <c r="N13" s="80">
        <f>'Dia 14'!F12</f>
        <v>7.91</v>
      </c>
      <c r="O13" s="78">
        <f t="shared" si="8"/>
        <v>26.62337662</v>
      </c>
      <c r="P13" s="77">
        <f>'Dia 0'!H12</f>
        <v>2980</v>
      </c>
      <c r="Q13" s="80">
        <f>'Dia 7'!H12</f>
        <v>2300</v>
      </c>
      <c r="R13" s="80">
        <f>'Dia 14'!H12</f>
        <v>2540</v>
      </c>
      <c r="S13" s="78">
        <f t="shared" si="9"/>
        <v>14.76510067</v>
      </c>
      <c r="T13" s="77">
        <f>'Dia 0'!M12</f>
        <v>3015.343</v>
      </c>
      <c r="U13" s="80">
        <f>'Dia 7'!M12</f>
        <v>2275.219</v>
      </c>
      <c r="V13" s="80">
        <f>'Dia 14'!M12</f>
        <v>2322.211</v>
      </c>
      <c r="W13" s="81">
        <f t="shared" si="10"/>
        <v>22.98683765</v>
      </c>
    </row>
    <row r="14">
      <c r="B14" s="66"/>
      <c r="C14" s="7">
        <v>75.0</v>
      </c>
      <c r="D14" s="88">
        <f>'Dia 0'!D13</f>
        <v>9.26</v>
      </c>
      <c r="E14" s="80">
        <f>'Dia 7'!D13</f>
        <v>9.44</v>
      </c>
      <c r="F14" s="80">
        <f>'Dia 14'!D13</f>
        <v>8.73</v>
      </c>
      <c r="G14" s="78">
        <f t="shared" si="6"/>
        <v>5.723542117</v>
      </c>
      <c r="H14" s="77">
        <f>'Dia 0'!E13</f>
        <v>108</v>
      </c>
      <c r="I14" s="80">
        <f>'Dia 7'!E13</f>
        <v>136</v>
      </c>
      <c r="J14" s="80">
        <f>'Dia 14'!E13</f>
        <v>158</v>
      </c>
      <c r="K14" s="79">
        <f t="shared" si="7"/>
        <v>-46.2962963</v>
      </c>
      <c r="L14" s="77">
        <f>'Dia 0'!F13</f>
        <v>15.2</v>
      </c>
      <c r="M14" s="80">
        <f>'Dia 7'!F13</f>
        <v>13.03</v>
      </c>
      <c r="N14" s="80">
        <f>'Dia 14'!F13</f>
        <v>12.07</v>
      </c>
      <c r="O14" s="78">
        <f t="shared" si="8"/>
        <v>20.59210526</v>
      </c>
      <c r="P14" s="77">
        <f>'Dia 0'!H13</f>
        <v>4240</v>
      </c>
      <c r="Q14" s="80">
        <f>'Dia 7'!H13</f>
        <v>1810</v>
      </c>
      <c r="R14" s="80">
        <f>'Dia 14'!H13</f>
        <v>4020</v>
      </c>
      <c r="S14" s="78">
        <f t="shared" si="9"/>
        <v>5.188679245</v>
      </c>
      <c r="T14" s="77">
        <f>'Dia 0'!M13</f>
        <v>3919.939</v>
      </c>
      <c r="U14" s="80">
        <f>'Dia 7'!M13</f>
        <v>1852.291</v>
      </c>
      <c r="V14" s="80">
        <f>'Dia 14'!M13</f>
        <v>3872.947</v>
      </c>
      <c r="W14" s="81">
        <f t="shared" si="10"/>
        <v>1.198794165</v>
      </c>
    </row>
    <row r="15">
      <c r="B15" s="11"/>
      <c r="C15" s="82">
        <v>100.0</v>
      </c>
      <c r="D15" s="89">
        <f>'Dia 0'!D14</f>
        <v>9.27</v>
      </c>
      <c r="E15" s="90">
        <f>'Dia 7'!D14</f>
        <v>9.46</v>
      </c>
      <c r="F15" s="90">
        <f>'Dia 14'!D14</f>
        <v>8.9</v>
      </c>
      <c r="G15" s="78">
        <f t="shared" si="6"/>
        <v>3.991370011</v>
      </c>
      <c r="H15" s="77">
        <f>'Dia 0'!E14</f>
        <v>152</v>
      </c>
      <c r="I15" s="80">
        <f>'Dia 7'!E14</f>
        <v>164</v>
      </c>
      <c r="J15" s="80">
        <f>'Dia 14'!E14</f>
        <v>183</v>
      </c>
      <c r="K15" s="79">
        <f t="shared" si="7"/>
        <v>-20.39473684</v>
      </c>
      <c r="L15" s="77">
        <f>'Dia 0'!F14</f>
        <v>19.67</v>
      </c>
      <c r="M15" s="80">
        <f>'Dia 7'!F14</f>
        <v>17.22</v>
      </c>
      <c r="N15" s="80">
        <f>'Dia 14'!F14</f>
        <v>15.84</v>
      </c>
      <c r="O15" s="78">
        <f t="shared" si="8"/>
        <v>19.47127605</v>
      </c>
      <c r="P15" s="77">
        <f>'Dia 0'!H14</f>
        <v>5780</v>
      </c>
      <c r="Q15" s="80">
        <f>'Dia 7'!H14</f>
        <v>2540</v>
      </c>
      <c r="R15" s="80">
        <f>'Dia 14'!H14</f>
        <v>5040</v>
      </c>
      <c r="S15" s="78">
        <f t="shared" si="9"/>
        <v>12.80276817</v>
      </c>
      <c r="T15" s="77">
        <f>'Dia 0'!M14</f>
        <v>5188.723</v>
      </c>
      <c r="U15" s="80">
        <f>'Dia 7'!M14</f>
        <v>2639.407</v>
      </c>
      <c r="V15" s="80">
        <f>'Dia 14'!M14</f>
        <v>4906.771</v>
      </c>
      <c r="W15" s="81">
        <f t="shared" si="10"/>
        <v>5.433938177</v>
      </c>
    </row>
    <row r="16">
      <c r="B16" s="91"/>
      <c r="C16" s="30"/>
      <c r="D16" s="91"/>
      <c r="E16" s="6"/>
      <c r="F16" s="6"/>
      <c r="G16" s="30"/>
      <c r="H16" s="92"/>
      <c r="I16" s="6"/>
      <c r="J16" s="6"/>
      <c r="K16" s="30"/>
      <c r="L16" s="92" t="str">
        <f>'Dia 0'!F15</f>
        <v/>
      </c>
      <c r="M16" s="6"/>
      <c r="N16" s="6"/>
      <c r="O16" s="30"/>
      <c r="P16" s="26" t="str">
        <f>'Dia 0'!H15</f>
        <v/>
      </c>
      <c r="Q16" s="6"/>
      <c r="R16" s="6"/>
      <c r="S16" s="30"/>
      <c r="T16" s="85" t="str">
        <f>'Dia 0'!M15</f>
        <v/>
      </c>
      <c r="U16" s="6"/>
      <c r="V16" s="6"/>
      <c r="W16" s="30"/>
    </row>
    <row r="17">
      <c r="B17" s="93" t="s">
        <v>15</v>
      </c>
      <c r="C17" s="7">
        <v>0.0</v>
      </c>
      <c r="D17" s="87">
        <f>'Dia 0'!D16</f>
        <v>5.87</v>
      </c>
      <c r="E17" s="74">
        <f>'Dia 7'!D16</f>
        <v>8.85</v>
      </c>
      <c r="F17" s="74">
        <f>'Dia 14'!D16</f>
        <v>8.09</v>
      </c>
      <c r="G17" s="78">
        <f t="shared" ref="G17:G21" si="11">((D17-F17)/D17)*100</f>
        <v>-37.81942078</v>
      </c>
      <c r="H17" s="77">
        <f>'Dia 0'!E16</f>
        <v>0.86</v>
      </c>
      <c r="I17" s="80">
        <f>'Dia 7'!E16</f>
        <v>0.61</v>
      </c>
      <c r="J17" s="80">
        <f>'Dia 14'!E16</f>
        <v>2.96</v>
      </c>
      <c r="K17" s="79">
        <f t="shared" ref="K17:K21" si="12">((H17-J17)/H17)*100</f>
        <v>-244.1860465</v>
      </c>
      <c r="L17" s="77">
        <f>'Dia 0'!F16</f>
        <v>11.83</v>
      </c>
      <c r="M17" s="80">
        <f>'Dia 7'!F16</f>
        <v>37.4</v>
      </c>
      <c r="N17" s="80">
        <f>'Dia 14'!F16</f>
        <v>38.9</v>
      </c>
      <c r="O17" s="78">
        <f t="shared" ref="O17:O21" si="13">((L17-N17)/L17)*100</f>
        <v>-228.8250211</v>
      </c>
      <c r="P17" s="77">
        <f>'Dia 0'!H16</f>
        <v>0</v>
      </c>
      <c r="Q17" s="80">
        <f>'Dia 7'!H16</f>
        <v>51</v>
      </c>
      <c r="R17" s="80">
        <f>'Dia 14'!H16</f>
        <v>40</v>
      </c>
      <c r="S17" s="78" t="str">
        <f t="shared" ref="S17:S21" si="14">((P17-R17)/P17)*100</f>
        <v>#DIV/0!</v>
      </c>
      <c r="T17" s="77">
        <f>'Dia 0'!M16</f>
        <v>7.855</v>
      </c>
      <c r="U17" s="80">
        <f>'Dia 7'!M16</f>
        <v>85.3918</v>
      </c>
      <c r="V17" s="80">
        <f>'Dia 14'!M16</f>
        <v>50.1478</v>
      </c>
      <c r="W17" s="81">
        <f t="shared" ref="W17:W21" si="15">((T17-V17)/T17)*100</f>
        <v>-538.4188415</v>
      </c>
    </row>
    <row r="18">
      <c r="B18" s="66"/>
      <c r="C18" s="7">
        <v>25.0</v>
      </c>
      <c r="D18" s="88">
        <f>'Dia 0'!D17</f>
        <v>8.33</v>
      </c>
      <c r="E18" s="80">
        <f>'Dia 7'!D17</f>
        <v>9.22</v>
      </c>
      <c r="F18" s="80">
        <f>'Dia 14'!D17</f>
        <v>8.66</v>
      </c>
      <c r="G18" s="78">
        <f t="shared" si="11"/>
        <v>-3.961584634</v>
      </c>
      <c r="H18" s="77">
        <f>'Dia 0'!E17</f>
        <v>26.2</v>
      </c>
      <c r="I18" s="80">
        <f>'Dia 7'!E17</f>
        <v>45.1</v>
      </c>
      <c r="J18" s="80">
        <f>'Dia 14'!E17</f>
        <v>30.4</v>
      </c>
      <c r="K18" s="79">
        <f t="shared" si="12"/>
        <v>-16.03053435</v>
      </c>
      <c r="L18" s="77">
        <f>'Dia 0'!F17</f>
        <v>7.48</v>
      </c>
      <c r="M18" s="80">
        <f>'Dia 7'!F17</f>
        <v>4.95</v>
      </c>
      <c r="N18" s="80">
        <f>'Dia 14'!F17</f>
        <v>4.44</v>
      </c>
      <c r="O18" s="78">
        <f t="shared" si="13"/>
        <v>40.64171123</v>
      </c>
      <c r="P18" s="77">
        <f>'Dia 0'!H17</f>
        <v>1315</v>
      </c>
      <c r="Q18" s="80">
        <f>'Dia 7'!H17</f>
        <v>645</v>
      </c>
      <c r="R18" s="80">
        <f>'Dia 14'!H17</f>
        <v>1330</v>
      </c>
      <c r="S18" s="78">
        <f t="shared" si="14"/>
        <v>-1.140684411</v>
      </c>
      <c r="T18" s="77">
        <f>'Dia 0'!M17</f>
        <v>1611.457</v>
      </c>
      <c r="U18" s="80">
        <f>'Dia 7'!M17</f>
        <v>659.869</v>
      </c>
      <c r="V18" s="80">
        <f>'Dia 14'!M17</f>
        <v>1123.915</v>
      </c>
      <c r="W18" s="81">
        <f t="shared" si="15"/>
        <v>30.25473221</v>
      </c>
    </row>
    <row r="19">
      <c r="B19" s="66"/>
      <c r="C19" s="7">
        <v>50.0</v>
      </c>
      <c r="D19" s="88">
        <f>'Dia 0'!D18</f>
        <v>8.31</v>
      </c>
      <c r="E19" s="80">
        <f>'Dia 7'!D18</f>
        <v>9.34</v>
      </c>
      <c r="F19" s="80">
        <f>'Dia 14'!D18</f>
        <v>8.72</v>
      </c>
      <c r="G19" s="78">
        <f t="shared" si="11"/>
        <v>-4.933814681</v>
      </c>
      <c r="H19" s="77">
        <f>'Dia 0'!E18</f>
        <v>41.8</v>
      </c>
      <c r="I19" s="80">
        <f>'Dia 7'!E18</f>
        <v>87.7</v>
      </c>
      <c r="J19" s="80">
        <f>'Dia 14'!E18</f>
        <v>55.2</v>
      </c>
      <c r="K19" s="79">
        <f t="shared" si="12"/>
        <v>-32.05741627</v>
      </c>
      <c r="L19" s="77">
        <f>'Dia 0'!F18</f>
        <v>13.65</v>
      </c>
      <c r="M19" s="80">
        <f>'Dia 7'!F18</f>
        <v>9.85</v>
      </c>
      <c r="N19" s="80">
        <f>'Dia 14'!F18</f>
        <v>8.74</v>
      </c>
      <c r="O19" s="78">
        <f t="shared" si="13"/>
        <v>35.97069597</v>
      </c>
      <c r="P19" s="77">
        <f>'Dia 0'!H18</f>
        <v>2380</v>
      </c>
      <c r="Q19" s="80">
        <f>'Dia 7'!H18</f>
        <v>2910</v>
      </c>
      <c r="R19" s="80">
        <f>'Dia 14'!H18</f>
        <v>2740</v>
      </c>
      <c r="S19" s="78">
        <f t="shared" si="14"/>
        <v>-15.12605042</v>
      </c>
      <c r="T19" s="77">
        <f>'Dia 0'!M18</f>
        <v>2980.099</v>
      </c>
      <c r="U19" s="80">
        <f>'Dia 7'!M18</f>
        <v>2580.667</v>
      </c>
      <c r="V19" s="80">
        <f>'Dia 14'!M18</f>
        <v>2357.455</v>
      </c>
      <c r="W19" s="81">
        <f t="shared" si="15"/>
        <v>20.89339985</v>
      </c>
    </row>
    <row r="20">
      <c r="B20" s="66"/>
      <c r="C20" s="7">
        <v>75.0</v>
      </c>
      <c r="D20" s="88">
        <f>'Dia 0'!D19</f>
        <v>8.34</v>
      </c>
      <c r="E20" s="80">
        <f>'Dia 7'!D19</f>
        <v>9.3</v>
      </c>
      <c r="F20" s="80">
        <f>'Dia 14'!D19</f>
        <v>8.75</v>
      </c>
      <c r="G20" s="78">
        <f t="shared" si="11"/>
        <v>-4.916067146</v>
      </c>
      <c r="H20" s="77">
        <f>'Dia 0'!E19</f>
        <v>62.7</v>
      </c>
      <c r="I20" s="80">
        <f>'Dia 7'!E19</f>
        <v>89.3</v>
      </c>
      <c r="J20" s="80">
        <f>'Dia 14'!E19</f>
        <v>88.3</v>
      </c>
      <c r="K20" s="79">
        <f t="shared" si="12"/>
        <v>-40.82934609</v>
      </c>
      <c r="L20" s="77">
        <f>'Dia 0'!F19</f>
        <v>19.62</v>
      </c>
      <c r="M20" s="80">
        <f>'Dia 7'!F19</f>
        <v>14.8</v>
      </c>
      <c r="N20" s="80">
        <f>'Dia 14'!F19</f>
        <v>13.29</v>
      </c>
      <c r="O20" s="78">
        <f t="shared" si="13"/>
        <v>32.26299694</v>
      </c>
      <c r="P20" s="77">
        <f>'Dia 0'!H19</f>
        <v>3660</v>
      </c>
      <c r="Q20" s="80">
        <f>'Dia 7'!H19</f>
        <v>1930</v>
      </c>
      <c r="R20" s="80">
        <f>'Dia 14'!H19</f>
        <v>4120</v>
      </c>
      <c r="S20" s="78">
        <f t="shared" si="14"/>
        <v>-12.56830601</v>
      </c>
      <c r="T20" s="77">
        <f>'Dia 0'!M19</f>
        <v>4554.331</v>
      </c>
      <c r="U20" s="80">
        <f>'Dia 7'!M19</f>
        <v>1887.535</v>
      </c>
      <c r="V20" s="80">
        <f>'Dia 14'!M19</f>
        <v>3919.939</v>
      </c>
      <c r="W20" s="81">
        <f t="shared" si="15"/>
        <v>13.92942235</v>
      </c>
    </row>
    <row r="21">
      <c r="B21" s="11"/>
      <c r="C21" s="82">
        <v>100.0</v>
      </c>
      <c r="D21" s="89">
        <f>'Dia 0'!D20</f>
        <v>8.21</v>
      </c>
      <c r="E21" s="90">
        <f>'Dia 7'!D20</f>
        <v>9.33</v>
      </c>
      <c r="F21" s="90">
        <f>'Dia 14'!D20</f>
        <v>8.78</v>
      </c>
      <c r="G21" s="78">
        <f t="shared" si="11"/>
        <v>-6.942752741</v>
      </c>
      <c r="H21" s="77">
        <f>'Dia 0'!E20</f>
        <v>77.8</v>
      </c>
      <c r="I21" s="80">
        <f>'Dia 7'!E20</f>
        <v>104</v>
      </c>
      <c r="J21" s="80">
        <f>'Dia 14'!E20</f>
        <v>108</v>
      </c>
      <c r="K21" s="79">
        <f t="shared" si="12"/>
        <v>-38.81748072</v>
      </c>
      <c r="L21" s="77">
        <f>'Dia 0'!F20</f>
        <v>24.94</v>
      </c>
      <c r="M21" s="80">
        <f>'Dia 7'!F20</f>
        <v>18.21</v>
      </c>
      <c r="N21" s="80">
        <f>'Dia 14'!F20</f>
        <v>16.72</v>
      </c>
      <c r="O21" s="78">
        <f t="shared" si="13"/>
        <v>32.95910184</v>
      </c>
      <c r="P21" s="77">
        <f>'Dia 0'!H20</f>
        <v>5160</v>
      </c>
      <c r="Q21" s="80">
        <f>'Dia 7'!H20</f>
        <v>4840</v>
      </c>
      <c r="R21" s="80">
        <f>'Dia 14'!H20</f>
        <v>5380</v>
      </c>
      <c r="S21" s="78">
        <f t="shared" si="14"/>
        <v>-4.263565891</v>
      </c>
      <c r="T21" s="77">
        <f>'Dia 0'!M20</f>
        <v>6199.051</v>
      </c>
      <c r="U21" s="80">
        <f>'Dia 7'!M20</f>
        <v>2427.943</v>
      </c>
      <c r="V21" s="80">
        <f>'Dia 14'!M20</f>
        <v>5165.227</v>
      </c>
      <c r="W21" s="81">
        <f t="shared" si="15"/>
        <v>16.67713332</v>
      </c>
    </row>
    <row r="22">
      <c r="B22" s="7"/>
      <c r="C22" s="30"/>
      <c r="D22" s="7"/>
      <c r="E22" s="6"/>
      <c r="F22" s="6"/>
      <c r="G22" s="30"/>
      <c r="H22" s="26"/>
      <c r="I22" s="6"/>
      <c r="J22" s="6"/>
      <c r="K22" s="30"/>
      <c r="L22" s="92"/>
      <c r="M22" s="6"/>
      <c r="N22" s="6"/>
      <c r="O22" s="30"/>
      <c r="P22" s="26" t="str">
        <f>'Dia 0'!H21</f>
        <v/>
      </c>
      <c r="Q22" s="6"/>
      <c r="R22" s="6"/>
      <c r="S22" s="30"/>
      <c r="T22" s="85" t="str">
        <f>'Dia 0'!M21</f>
        <v/>
      </c>
      <c r="U22" s="6"/>
      <c r="V22" s="6"/>
      <c r="W22" s="30"/>
    </row>
    <row r="23">
      <c r="B23" s="94" t="s">
        <v>16</v>
      </c>
      <c r="C23" s="7">
        <v>0.0</v>
      </c>
      <c r="D23" s="87">
        <f>'Dia 0'!D22</f>
        <v>5.87</v>
      </c>
      <c r="E23" s="74">
        <f>'Dia 7'!D22</f>
        <v>8.47</v>
      </c>
      <c r="F23" s="74">
        <f>'Dia 14'!D22</f>
        <v>8.04</v>
      </c>
      <c r="G23" s="78">
        <f t="shared" ref="G23:G27" si="16">((D23-F23)/D23)*100</f>
        <v>-36.96763203</v>
      </c>
      <c r="H23" s="77">
        <f>'Dia 0'!E22</f>
        <v>0.86</v>
      </c>
      <c r="I23" s="80">
        <f>'Dia 7'!E22</f>
        <v>0</v>
      </c>
      <c r="J23" s="80">
        <f>'Dia 14'!E22</f>
        <v>1.62</v>
      </c>
      <c r="K23" s="79">
        <f t="shared" ref="K23:K27" si="17">((H23-J23)/H23)*100</f>
        <v>-88.37209302</v>
      </c>
      <c r="L23" s="77">
        <f>'Dia 0'!F22</f>
        <v>11.83</v>
      </c>
      <c r="M23" s="80">
        <f>'Dia 7'!F22</f>
        <v>20.2</v>
      </c>
      <c r="N23" s="80">
        <f>'Dia 14'!F22</f>
        <v>22.18</v>
      </c>
      <c r="O23" s="78">
        <f t="shared" ref="O23:O27" si="18">((L23-N23)/L23)*100</f>
        <v>-87.48943364</v>
      </c>
      <c r="P23" s="77">
        <f>'Dia 0'!H22</f>
        <v>0</v>
      </c>
      <c r="Q23" s="80">
        <f>'Dia 7'!H22</f>
        <v>2</v>
      </c>
      <c r="R23" s="80">
        <f>'Dia 14'!H22</f>
        <v>1</v>
      </c>
      <c r="S23" s="78" t="str">
        <f t="shared" ref="S23:S27" si="19">((P23-R23)/P23)*100</f>
        <v>#DIV/0!</v>
      </c>
      <c r="T23" s="71">
        <f>'Dia 0'!M22</f>
        <v>7.855</v>
      </c>
      <c r="U23" s="74">
        <f>'Dia 7'!M22</f>
        <v>14.9038</v>
      </c>
      <c r="V23" s="74">
        <f>'Dia 14'!M22</f>
        <v>25.477</v>
      </c>
      <c r="W23" s="81">
        <f t="shared" ref="W23:W27" si="20">((T23-V23)/T23)*100</f>
        <v>-224.341184</v>
      </c>
    </row>
    <row r="24">
      <c r="B24" s="66"/>
      <c r="C24" s="7">
        <v>25.0</v>
      </c>
      <c r="D24" s="88">
        <f>'Dia 0'!D23</f>
        <v>8.33</v>
      </c>
      <c r="E24" s="80">
        <f>'Dia 7'!D23</f>
        <v>9.29</v>
      </c>
      <c r="F24" s="80">
        <f>'Dia 14'!D23</f>
        <v>8.72</v>
      </c>
      <c r="G24" s="78">
        <f t="shared" si="16"/>
        <v>-4.681872749</v>
      </c>
      <c r="H24" s="77">
        <f>'Dia 0'!E23</f>
        <v>26.2</v>
      </c>
      <c r="I24" s="80">
        <f>'Dia 7'!E23</f>
        <v>33.3</v>
      </c>
      <c r="J24" s="80">
        <f>'Dia 14'!E23</f>
        <v>30.8</v>
      </c>
      <c r="K24" s="79">
        <f t="shared" si="17"/>
        <v>-17.55725191</v>
      </c>
      <c r="L24" s="77">
        <f>'Dia 0'!F23</f>
        <v>7.48</v>
      </c>
      <c r="M24" s="80">
        <f>'Dia 7'!F23</f>
        <v>5.06</v>
      </c>
      <c r="N24" s="80">
        <f>'Dia 14'!F23</f>
        <v>4.63</v>
      </c>
      <c r="O24" s="78">
        <f t="shared" si="18"/>
        <v>38.10160428</v>
      </c>
      <c r="P24" s="77">
        <f>'Dia 0'!H23</f>
        <v>1315</v>
      </c>
      <c r="Q24" s="80">
        <f>'Dia 7'!H23</f>
        <v>595</v>
      </c>
      <c r="R24" s="80">
        <f>'Dia 14'!H23</f>
        <v>1330</v>
      </c>
      <c r="S24" s="78">
        <f t="shared" si="19"/>
        <v>-1.140684411</v>
      </c>
      <c r="T24" s="77">
        <f>'Dia 0'!M23</f>
        <v>1611.457</v>
      </c>
      <c r="U24" s="80">
        <f>'Dia 7'!M23</f>
        <v>659.869</v>
      </c>
      <c r="V24" s="80">
        <f>'Dia 14'!M23</f>
        <v>1370.623</v>
      </c>
      <c r="W24" s="81">
        <f t="shared" si="20"/>
        <v>14.94510868</v>
      </c>
    </row>
    <row r="25">
      <c r="B25" s="66"/>
      <c r="C25" s="7">
        <v>50.0</v>
      </c>
      <c r="D25" s="88">
        <f>'Dia 0'!D24</f>
        <v>8.31</v>
      </c>
      <c r="E25" s="80">
        <f>'Dia 7'!D24</f>
        <v>9.34</v>
      </c>
      <c r="F25" s="80">
        <f>'Dia 14'!D24</f>
        <v>8.79</v>
      </c>
      <c r="G25" s="78">
        <f t="shared" si="16"/>
        <v>-5.776173285</v>
      </c>
      <c r="H25" s="77">
        <f>'Dia 0'!E24</f>
        <v>41.8</v>
      </c>
      <c r="I25" s="80">
        <f>'Dia 7'!E24</f>
        <v>60.3</v>
      </c>
      <c r="J25" s="80">
        <f>'Dia 14'!E24</f>
        <v>63.5</v>
      </c>
      <c r="K25" s="79">
        <f t="shared" si="17"/>
        <v>-51.9138756</v>
      </c>
      <c r="L25" s="77">
        <f>'Dia 0'!F24</f>
        <v>13.65</v>
      </c>
      <c r="M25" s="80">
        <f>'Dia 7'!F24</f>
        <v>9.91</v>
      </c>
      <c r="N25" s="80">
        <f>'Dia 14'!F24</f>
        <v>8.91</v>
      </c>
      <c r="O25" s="78">
        <f t="shared" si="18"/>
        <v>34.72527473</v>
      </c>
      <c r="P25" s="77">
        <f>'Dia 0'!H24</f>
        <v>2380</v>
      </c>
      <c r="Q25" s="80">
        <f>'Dia 7'!H24</f>
        <v>2590</v>
      </c>
      <c r="R25" s="80">
        <f>'Dia 14'!H24</f>
        <v>2740</v>
      </c>
      <c r="S25" s="78">
        <f t="shared" si="19"/>
        <v>-15.12605042</v>
      </c>
      <c r="T25" s="77">
        <f>'Dia 0'!M24</f>
        <v>2980.099</v>
      </c>
      <c r="U25" s="80">
        <f>'Dia 7'!M24</f>
        <v>2580.667</v>
      </c>
      <c r="V25" s="80">
        <f>'Dia 14'!M24</f>
        <v>2580.667</v>
      </c>
      <c r="W25" s="81">
        <f t="shared" si="20"/>
        <v>13.40331311</v>
      </c>
    </row>
    <row r="26">
      <c r="B26" s="66"/>
      <c r="C26" s="7">
        <v>75.0</v>
      </c>
      <c r="D26" s="88">
        <f>'Dia 0'!D25</f>
        <v>8.34</v>
      </c>
      <c r="E26" s="80">
        <f>'Dia 7'!D25</f>
        <v>9.36</v>
      </c>
      <c r="F26" s="80">
        <f>'Dia 14'!D25</f>
        <v>8.8</v>
      </c>
      <c r="G26" s="78">
        <f t="shared" si="16"/>
        <v>-5.51558753</v>
      </c>
      <c r="H26" s="77">
        <f>'Dia 0'!E25</f>
        <v>62.7</v>
      </c>
      <c r="I26" s="80">
        <f>'Dia 7'!E25</f>
        <v>79.3</v>
      </c>
      <c r="J26" s="80">
        <f>'Dia 14'!E25</f>
        <v>82.7</v>
      </c>
      <c r="K26" s="79">
        <f t="shared" si="17"/>
        <v>-31.89792663</v>
      </c>
      <c r="L26" s="77">
        <f>'Dia 0'!F25</f>
        <v>19.62</v>
      </c>
      <c r="M26" s="80">
        <f>'Dia 7'!F25</f>
        <v>14.52</v>
      </c>
      <c r="N26" s="80">
        <f>'Dia 14'!F25</f>
        <v>13.3</v>
      </c>
      <c r="O26" s="78">
        <f t="shared" si="18"/>
        <v>32.21202854</v>
      </c>
      <c r="P26" s="77">
        <f>'Dia 0'!H25</f>
        <v>3660</v>
      </c>
      <c r="Q26" s="80">
        <f>'Dia 7'!H25</f>
        <v>1890</v>
      </c>
      <c r="R26" s="80">
        <f>'Dia 14'!H25</f>
        <v>4120</v>
      </c>
      <c r="S26" s="78">
        <f t="shared" si="19"/>
        <v>-12.56830601</v>
      </c>
      <c r="T26" s="77">
        <f>'Dia 0'!M25</f>
        <v>4554.331</v>
      </c>
      <c r="U26" s="80">
        <f>'Dia 7'!M25</f>
        <v>1887.535</v>
      </c>
      <c r="V26" s="80">
        <f>'Dia 14'!M25</f>
        <v>5212.219</v>
      </c>
      <c r="W26" s="81">
        <f t="shared" si="20"/>
        <v>-14.44532688</v>
      </c>
    </row>
    <row r="27">
      <c r="B27" s="11"/>
      <c r="C27" s="82">
        <v>100.0</v>
      </c>
      <c r="D27" s="89">
        <f>'Dia 0'!D26</f>
        <v>8.21</v>
      </c>
      <c r="E27" s="90">
        <f>'Dia 7'!D26</f>
        <v>9.3</v>
      </c>
      <c r="F27" s="90">
        <f>'Dia 14'!D26</f>
        <v>8.76</v>
      </c>
      <c r="G27" s="95">
        <f t="shared" si="16"/>
        <v>-6.699147381</v>
      </c>
      <c r="H27" s="84">
        <f>'Dia 0'!E26</f>
        <v>77.8</v>
      </c>
      <c r="I27" s="90">
        <f>'Dia 7'!E26</f>
        <v>95.5</v>
      </c>
      <c r="J27" s="90">
        <f>'Dia 14'!E26</f>
        <v>106</v>
      </c>
      <c r="K27" s="96">
        <f t="shared" si="17"/>
        <v>-36.24678663</v>
      </c>
      <c r="L27" s="84">
        <f>'Dia 0'!F26</f>
        <v>24.94</v>
      </c>
      <c r="M27" s="90">
        <f>'Dia 7'!F26</f>
        <v>17.74</v>
      </c>
      <c r="N27" s="90">
        <f>'Dia 14'!F26</f>
        <v>16.7</v>
      </c>
      <c r="O27" s="95">
        <f t="shared" si="18"/>
        <v>33.03929431</v>
      </c>
      <c r="P27" s="84">
        <f>'Dia 0'!H26</f>
        <v>5160</v>
      </c>
      <c r="Q27" s="90">
        <f>'Dia 7'!H26</f>
        <v>2460</v>
      </c>
      <c r="R27" s="90">
        <f>'Dia 14'!H26</f>
        <v>5380</v>
      </c>
      <c r="S27" s="95">
        <f t="shared" si="19"/>
        <v>-4.263565891</v>
      </c>
      <c r="T27" s="84">
        <f>'Dia 0'!M26</f>
        <v>6199.051</v>
      </c>
      <c r="U27" s="90">
        <f>'Dia 7'!M26</f>
        <v>2427.943</v>
      </c>
      <c r="V27" s="90">
        <f>'Dia 14'!M26</f>
        <v>5329.699</v>
      </c>
      <c r="W27" s="97">
        <f t="shared" si="20"/>
        <v>14.02395302</v>
      </c>
    </row>
  </sheetData>
  <mergeCells count="33">
    <mergeCell ref="P3:R4"/>
    <mergeCell ref="T3:V4"/>
    <mergeCell ref="B2:C4"/>
    <mergeCell ref="G2:G4"/>
    <mergeCell ref="K2:K4"/>
    <mergeCell ref="O2:O4"/>
    <mergeCell ref="S2:S4"/>
    <mergeCell ref="W2:W4"/>
    <mergeCell ref="D3:F4"/>
    <mergeCell ref="P10:S10"/>
    <mergeCell ref="T10:W10"/>
    <mergeCell ref="H3:J4"/>
    <mergeCell ref="L3:N4"/>
    <mergeCell ref="B5:B9"/>
    <mergeCell ref="B10:C10"/>
    <mergeCell ref="D10:G10"/>
    <mergeCell ref="H10:K10"/>
    <mergeCell ref="L10:O10"/>
    <mergeCell ref="B17:B21"/>
    <mergeCell ref="B22:C22"/>
    <mergeCell ref="D22:G22"/>
    <mergeCell ref="H22:K22"/>
    <mergeCell ref="L22:O22"/>
    <mergeCell ref="P22:S22"/>
    <mergeCell ref="T22:W22"/>
    <mergeCell ref="B23:B27"/>
    <mergeCell ref="B11:B15"/>
    <mergeCell ref="B16:C16"/>
    <mergeCell ref="D16:G16"/>
    <mergeCell ref="H16:K16"/>
    <mergeCell ref="L16:O16"/>
    <mergeCell ref="P16:S16"/>
    <mergeCell ref="T16:W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3" max="13" width="6.25"/>
    <col customWidth="1" min="21" max="21" width="3.5"/>
    <col customWidth="1" min="29" max="29" width="3.13"/>
  </cols>
  <sheetData>
    <row r="1" ht="2.25" customHeight="1"/>
    <row r="2">
      <c r="B2" s="37" t="s">
        <v>13</v>
      </c>
      <c r="C2" s="49" t="s">
        <v>22</v>
      </c>
      <c r="D2" s="49" t="s">
        <v>23</v>
      </c>
      <c r="E2" s="49" t="s">
        <v>24</v>
      </c>
      <c r="I2" s="37" t="s">
        <v>14</v>
      </c>
      <c r="J2" s="49" t="s">
        <v>22</v>
      </c>
      <c r="K2" s="49" t="s">
        <v>23</v>
      </c>
      <c r="L2" s="49" t="s">
        <v>24</v>
      </c>
      <c r="Q2" s="37" t="s">
        <v>18</v>
      </c>
      <c r="R2" s="49" t="s">
        <v>22</v>
      </c>
      <c r="S2" s="49" t="s">
        <v>23</v>
      </c>
      <c r="T2" s="49" t="s">
        <v>24</v>
      </c>
      <c r="Y2" s="37" t="s">
        <v>29</v>
      </c>
      <c r="Z2" s="49" t="s">
        <v>22</v>
      </c>
      <c r="AA2" s="49" t="s">
        <v>23</v>
      </c>
      <c r="AB2" s="49" t="s">
        <v>24</v>
      </c>
      <c r="AC2" s="77"/>
      <c r="AD2" s="77"/>
      <c r="AE2" s="77"/>
      <c r="AF2" s="77"/>
      <c r="AG2" s="77"/>
      <c r="AH2" s="77"/>
      <c r="AI2" s="77"/>
    </row>
    <row r="3">
      <c r="B3" s="11"/>
      <c r="C3" s="98" t="s">
        <v>2</v>
      </c>
      <c r="D3" s="6"/>
      <c r="E3" s="30"/>
      <c r="I3" s="11"/>
      <c r="J3" s="98" t="s">
        <v>2</v>
      </c>
      <c r="K3" s="6"/>
      <c r="L3" s="30"/>
      <c r="Q3" s="11"/>
      <c r="R3" s="98" t="s">
        <v>2</v>
      </c>
      <c r="S3" s="6"/>
      <c r="T3" s="30"/>
      <c r="Y3" s="11"/>
      <c r="Z3" s="98" t="s">
        <v>2</v>
      </c>
      <c r="AA3" s="6"/>
      <c r="AB3" s="30"/>
      <c r="AC3" s="77"/>
      <c r="AD3" s="77"/>
      <c r="AE3" s="77"/>
      <c r="AF3" s="77"/>
      <c r="AG3" s="77"/>
      <c r="AH3" s="77"/>
      <c r="AI3" s="77"/>
    </row>
    <row r="4">
      <c r="B4" s="13">
        <v>0.0</v>
      </c>
      <c r="C4" s="20">
        <f>PROCESSAMENTO!D5</f>
        <v>5.87</v>
      </c>
      <c r="D4" s="20">
        <f>PROCESSAMENTO!E5</f>
        <v>8.85</v>
      </c>
      <c r="E4" s="20">
        <f>PROCESSAMENTO!F5</f>
        <v>5.83</v>
      </c>
      <c r="I4" s="13">
        <v>0.0</v>
      </c>
      <c r="J4" s="20">
        <f>PROCESSAMENTO!D11</f>
        <v>5.87</v>
      </c>
      <c r="K4" s="20">
        <f>PROCESSAMENTO!E11</f>
        <v>8.47</v>
      </c>
      <c r="L4" s="20">
        <f>PROCESSAMENTO!F11</f>
        <v>7.93</v>
      </c>
      <c r="Q4" s="13">
        <v>0.0</v>
      </c>
      <c r="R4" s="20">
        <f>PROCESSAMENTO!D17</f>
        <v>5.87</v>
      </c>
      <c r="S4" s="20">
        <f>PROCESSAMENTO!E17</f>
        <v>8.85</v>
      </c>
      <c r="T4" s="20">
        <f>PROCESSAMENTO!F17</f>
        <v>8.09</v>
      </c>
      <c r="Y4" s="13">
        <v>0.0</v>
      </c>
      <c r="Z4" s="20">
        <f>PROCESSAMENTO!D23</f>
        <v>5.87</v>
      </c>
      <c r="AA4" s="20">
        <f>PROCESSAMENTO!E23</f>
        <v>8.47</v>
      </c>
      <c r="AB4" s="20">
        <f>PROCESSAMENTO!F23</f>
        <v>8.04</v>
      </c>
      <c r="AC4" s="77"/>
      <c r="AD4" s="77"/>
      <c r="AE4" s="77"/>
      <c r="AF4" s="77"/>
      <c r="AG4" s="77"/>
      <c r="AH4" s="77"/>
      <c r="AI4" s="77"/>
    </row>
    <row r="5">
      <c r="B5" s="13">
        <v>25.0</v>
      </c>
      <c r="C5" s="20">
        <f>PROCESSAMENTO!D6</f>
        <v>9.15</v>
      </c>
      <c r="D5" s="20">
        <f>PROCESSAMENTO!E6</f>
        <v>9.25</v>
      </c>
      <c r="E5" s="20">
        <f>PROCESSAMENTO!F6</f>
        <v>8.65</v>
      </c>
      <c r="I5" s="13">
        <v>25.0</v>
      </c>
      <c r="J5" s="20">
        <f>PROCESSAMENTO!D12</f>
        <v>9.15</v>
      </c>
      <c r="K5" s="20">
        <f>PROCESSAMENTO!E12</f>
        <v>9.26</v>
      </c>
      <c r="L5" s="20">
        <f>PROCESSAMENTO!F12</f>
        <v>8.65</v>
      </c>
      <c r="Q5" s="13">
        <v>25.0</v>
      </c>
      <c r="R5" s="20">
        <f>PROCESSAMENTO!D18</f>
        <v>8.33</v>
      </c>
      <c r="S5" s="20">
        <f>PROCESSAMENTO!E18</f>
        <v>9.22</v>
      </c>
      <c r="T5" s="20">
        <f>PROCESSAMENTO!F18</f>
        <v>8.66</v>
      </c>
      <c r="Y5" s="13">
        <v>25.0</v>
      </c>
      <c r="Z5" s="20">
        <f>PROCESSAMENTO!D24</f>
        <v>8.33</v>
      </c>
      <c r="AA5" s="20">
        <f>PROCESSAMENTO!E24</f>
        <v>9.29</v>
      </c>
      <c r="AB5" s="20">
        <f>PROCESSAMENTO!F24</f>
        <v>8.72</v>
      </c>
      <c r="AC5" s="77"/>
      <c r="AD5" s="77"/>
      <c r="AE5" s="77"/>
      <c r="AF5" s="77"/>
      <c r="AG5" s="77"/>
      <c r="AH5" s="77"/>
      <c r="AI5" s="77"/>
    </row>
    <row r="6">
      <c r="B6" s="13">
        <v>50.0</v>
      </c>
      <c r="C6" s="20">
        <f>PROCESSAMENTO!D7</f>
        <v>9.24</v>
      </c>
      <c r="D6" s="20">
        <f>PROCESSAMENTO!E7</f>
        <v>9.37</v>
      </c>
      <c r="E6" s="20">
        <f>PROCESSAMENTO!F7</f>
        <v>8.8</v>
      </c>
      <c r="I6" s="13">
        <v>50.0</v>
      </c>
      <c r="J6" s="20">
        <f>PROCESSAMENTO!D13</f>
        <v>9.24</v>
      </c>
      <c r="K6" s="20">
        <f>PROCESSAMENTO!E13</f>
        <v>9.38</v>
      </c>
      <c r="L6" s="20">
        <f>PROCESSAMENTO!F13</f>
        <v>8.75</v>
      </c>
      <c r="Q6" s="13">
        <v>50.0</v>
      </c>
      <c r="R6" s="20">
        <f>PROCESSAMENTO!D19</f>
        <v>8.31</v>
      </c>
      <c r="S6" s="20">
        <f>PROCESSAMENTO!E19</f>
        <v>9.34</v>
      </c>
      <c r="T6" s="20">
        <f>PROCESSAMENTO!F19</f>
        <v>8.72</v>
      </c>
      <c r="Y6" s="13">
        <v>50.0</v>
      </c>
      <c r="Z6" s="20">
        <f>PROCESSAMENTO!D25</f>
        <v>8.31</v>
      </c>
      <c r="AA6" s="20">
        <f>PROCESSAMENTO!E25</f>
        <v>9.34</v>
      </c>
      <c r="AB6" s="20">
        <f>PROCESSAMENTO!F25</f>
        <v>8.79</v>
      </c>
      <c r="AC6" s="77"/>
      <c r="AD6" s="77"/>
      <c r="AE6" s="77"/>
      <c r="AF6" s="77"/>
      <c r="AG6" s="77"/>
      <c r="AH6" s="77"/>
      <c r="AI6" s="77"/>
    </row>
    <row r="7">
      <c r="B7" s="13">
        <v>75.0</v>
      </c>
      <c r="C7" s="20">
        <f>PROCESSAMENTO!D8</f>
        <v>9.26</v>
      </c>
      <c r="D7" s="20">
        <f>PROCESSAMENTO!E8</f>
        <v>9.44</v>
      </c>
      <c r="E7" s="20">
        <f>PROCESSAMENTO!F8</f>
        <v>8.88</v>
      </c>
      <c r="I7" s="13">
        <v>75.0</v>
      </c>
      <c r="J7" s="20">
        <f>PROCESSAMENTO!D14</f>
        <v>9.26</v>
      </c>
      <c r="K7" s="20">
        <f>PROCESSAMENTO!E14</f>
        <v>9.44</v>
      </c>
      <c r="L7" s="20">
        <f>PROCESSAMENTO!F14</f>
        <v>8.73</v>
      </c>
      <c r="Q7" s="13">
        <v>75.0</v>
      </c>
      <c r="R7" s="20">
        <f>PROCESSAMENTO!D20</f>
        <v>8.34</v>
      </c>
      <c r="S7" s="20">
        <f>PROCESSAMENTO!E20</f>
        <v>9.3</v>
      </c>
      <c r="T7" s="20">
        <f>PROCESSAMENTO!F20</f>
        <v>8.75</v>
      </c>
      <c r="Y7" s="13">
        <v>75.0</v>
      </c>
      <c r="Z7" s="20">
        <f>PROCESSAMENTO!D26</f>
        <v>8.34</v>
      </c>
      <c r="AA7" s="20">
        <f>PROCESSAMENTO!E26</f>
        <v>9.36</v>
      </c>
      <c r="AB7" s="20">
        <f>PROCESSAMENTO!F26</f>
        <v>8.8</v>
      </c>
      <c r="AC7" s="77"/>
      <c r="AD7" s="77"/>
      <c r="AE7" s="77"/>
      <c r="AF7" s="77"/>
      <c r="AG7" s="77"/>
      <c r="AH7" s="77"/>
      <c r="AI7" s="77"/>
    </row>
    <row r="8">
      <c r="B8" s="99">
        <v>100.0</v>
      </c>
      <c r="C8" s="20">
        <f>PROCESSAMENTO!D9</f>
        <v>9.27</v>
      </c>
      <c r="D8" s="20">
        <f>PROCESSAMENTO!E9</f>
        <v>9.44</v>
      </c>
      <c r="E8" s="20">
        <f>PROCESSAMENTO!F9</f>
        <v>8.89</v>
      </c>
      <c r="I8" s="99">
        <v>100.0</v>
      </c>
      <c r="J8" s="20">
        <f>PROCESSAMENTO!D15</f>
        <v>9.27</v>
      </c>
      <c r="K8" s="20">
        <f>PROCESSAMENTO!E15</f>
        <v>9.46</v>
      </c>
      <c r="L8" s="20">
        <f>PROCESSAMENTO!F15</f>
        <v>8.9</v>
      </c>
      <c r="Q8" s="99">
        <v>100.0</v>
      </c>
      <c r="R8" s="20">
        <f>PROCESSAMENTO!D21</f>
        <v>8.21</v>
      </c>
      <c r="S8" s="20">
        <f>PROCESSAMENTO!E21</f>
        <v>9.33</v>
      </c>
      <c r="T8" s="20">
        <f>PROCESSAMENTO!F21</f>
        <v>8.78</v>
      </c>
      <c r="Y8" s="99">
        <v>100.0</v>
      </c>
      <c r="Z8" s="20">
        <f>PROCESSAMENTO!D27</f>
        <v>8.21</v>
      </c>
      <c r="AA8" s="20">
        <f>PROCESSAMENTO!E27</f>
        <v>9.3</v>
      </c>
      <c r="AB8" s="20">
        <f>PROCESSAMENTO!F27</f>
        <v>8.76</v>
      </c>
      <c r="AC8" s="77"/>
      <c r="AD8" s="77"/>
      <c r="AE8" s="77"/>
      <c r="AF8" s="77"/>
      <c r="AG8" s="77"/>
      <c r="AH8" s="77"/>
      <c r="AI8" s="77"/>
    </row>
    <row r="10">
      <c r="B10" s="37" t="s">
        <v>13</v>
      </c>
      <c r="C10" s="100" t="s">
        <v>22</v>
      </c>
      <c r="D10" s="100" t="s">
        <v>23</v>
      </c>
      <c r="E10" s="100" t="s">
        <v>24</v>
      </c>
      <c r="I10" s="37" t="s">
        <v>14</v>
      </c>
      <c r="J10" s="100" t="s">
        <v>22</v>
      </c>
      <c r="K10" s="100" t="s">
        <v>23</v>
      </c>
      <c r="L10" s="100" t="s">
        <v>24</v>
      </c>
      <c r="Q10" s="37" t="s">
        <v>18</v>
      </c>
      <c r="R10" s="100" t="s">
        <v>22</v>
      </c>
      <c r="S10" s="100" t="s">
        <v>23</v>
      </c>
      <c r="T10" s="100" t="s">
        <v>24</v>
      </c>
      <c r="Y10" s="37" t="s">
        <v>29</v>
      </c>
      <c r="Z10" s="100" t="s">
        <v>22</v>
      </c>
      <c r="AA10" s="100" t="s">
        <v>23</v>
      </c>
      <c r="AB10" s="100" t="s">
        <v>24</v>
      </c>
      <c r="AC10" s="80"/>
      <c r="AD10" s="80"/>
      <c r="AE10" s="80"/>
      <c r="AF10" s="80"/>
      <c r="AG10" s="80"/>
      <c r="AH10" s="80"/>
      <c r="AI10" s="80"/>
    </row>
    <row r="11">
      <c r="B11" s="11"/>
      <c r="C11" s="101" t="s">
        <v>27</v>
      </c>
      <c r="D11" s="6"/>
      <c r="E11" s="30"/>
      <c r="I11" s="11"/>
      <c r="J11" s="101" t="s">
        <v>27</v>
      </c>
      <c r="K11" s="6"/>
      <c r="L11" s="30"/>
      <c r="Q11" s="11"/>
      <c r="R11" s="101" t="s">
        <v>27</v>
      </c>
      <c r="S11" s="6"/>
      <c r="T11" s="30"/>
      <c r="Y11" s="11"/>
      <c r="Z11" s="101" t="s">
        <v>27</v>
      </c>
      <c r="AA11" s="6"/>
      <c r="AB11" s="30"/>
      <c r="AC11" s="77"/>
      <c r="AD11" s="77"/>
      <c r="AE11" s="77"/>
      <c r="AF11" s="77"/>
      <c r="AG11" s="77"/>
      <c r="AH11" s="77"/>
      <c r="AI11" s="77"/>
    </row>
    <row r="12">
      <c r="B12" s="13">
        <v>0.0</v>
      </c>
      <c r="C12" s="34">
        <f>PROCESSAMENTO!H5</f>
        <v>0.86</v>
      </c>
      <c r="D12" s="34">
        <f>PROCESSAMENTO!I5</f>
        <v>0.061</v>
      </c>
      <c r="E12" s="34">
        <f>PROCESSAMENTO!J5</f>
        <v>2.07</v>
      </c>
      <c r="I12" s="13">
        <v>0.0</v>
      </c>
      <c r="J12" s="34">
        <f>PROCESSAMENTO!H11</f>
        <v>0.86</v>
      </c>
      <c r="K12" s="34">
        <f>PROCESSAMENTO!I11</f>
        <v>0</v>
      </c>
      <c r="L12" s="34">
        <f>PROCESSAMENTO!J11</f>
        <v>1.97</v>
      </c>
      <c r="Q12" s="13">
        <v>0.0</v>
      </c>
      <c r="R12" s="34">
        <f>PROCESSAMENTO!H17</f>
        <v>0.86</v>
      </c>
      <c r="S12" s="34">
        <f>PROCESSAMENTO!I17</f>
        <v>0.61</v>
      </c>
      <c r="T12" s="34">
        <f>PROCESSAMENTO!J17</f>
        <v>2.96</v>
      </c>
      <c r="Y12" s="13">
        <v>0.0</v>
      </c>
      <c r="Z12" s="34">
        <f>PROCESSAMENTO!H23</f>
        <v>0.86</v>
      </c>
      <c r="AA12" s="34">
        <f>PROCESSAMENTO!I23</f>
        <v>0</v>
      </c>
      <c r="AB12" s="34">
        <f>PROCESSAMENTO!J23</f>
        <v>1.62</v>
      </c>
      <c r="AC12" s="80"/>
      <c r="AD12" s="80"/>
      <c r="AE12" s="80"/>
      <c r="AF12" s="80"/>
      <c r="AG12" s="80"/>
      <c r="AH12" s="80"/>
      <c r="AI12" s="80"/>
    </row>
    <row r="13">
      <c r="B13" s="13">
        <v>25.0</v>
      </c>
      <c r="C13" s="34">
        <f>PROCESSAMENTO!H6</f>
        <v>56.2</v>
      </c>
      <c r="D13" s="34">
        <f>PROCESSAMENTO!I6</f>
        <v>65.5</v>
      </c>
      <c r="E13" s="34">
        <f>PROCESSAMENTO!J6</f>
        <v>66.7</v>
      </c>
      <c r="I13" s="13">
        <v>25.0</v>
      </c>
      <c r="J13" s="34">
        <f>PROCESSAMENTO!H12</f>
        <v>56.2</v>
      </c>
      <c r="K13" s="34">
        <f>PROCESSAMENTO!I12</f>
        <v>49.8</v>
      </c>
      <c r="L13" s="34">
        <f>PROCESSAMENTO!J12</f>
        <v>53.5</v>
      </c>
      <c r="Q13" s="13">
        <v>25.0</v>
      </c>
      <c r="R13" s="34">
        <f>PROCESSAMENTO!H18</f>
        <v>26.2</v>
      </c>
      <c r="S13" s="34">
        <f>PROCESSAMENTO!I18</f>
        <v>45.1</v>
      </c>
      <c r="T13" s="34">
        <f>PROCESSAMENTO!J18</f>
        <v>30.4</v>
      </c>
      <c r="Y13" s="13">
        <v>25.0</v>
      </c>
      <c r="Z13" s="34">
        <f>PROCESSAMENTO!H24</f>
        <v>26.2</v>
      </c>
      <c r="AA13" s="34">
        <f>PROCESSAMENTO!I24</f>
        <v>33.3</v>
      </c>
      <c r="AB13" s="34">
        <f>PROCESSAMENTO!J24</f>
        <v>30.8</v>
      </c>
      <c r="AC13" s="80"/>
      <c r="AD13" s="80"/>
      <c r="AE13" s="80"/>
      <c r="AF13" s="80"/>
      <c r="AG13" s="80"/>
      <c r="AH13" s="80"/>
      <c r="AI13" s="80"/>
    </row>
    <row r="14">
      <c r="B14" s="13">
        <v>50.0</v>
      </c>
      <c r="C14" s="34">
        <f>PROCESSAMENTO!H7</f>
        <v>106</v>
      </c>
      <c r="D14" s="34">
        <f>PROCESSAMENTO!I7</f>
        <v>107</v>
      </c>
      <c r="E14" s="34">
        <f>PROCESSAMENTO!J7</f>
        <v>111</v>
      </c>
      <c r="I14" s="13">
        <v>50.0</v>
      </c>
      <c r="J14" s="34">
        <f>PROCESSAMENTO!H13</f>
        <v>106</v>
      </c>
      <c r="K14" s="34">
        <f>PROCESSAMENTO!I13</f>
        <v>86.6</v>
      </c>
      <c r="L14" s="34">
        <f>PROCESSAMENTO!J13</f>
        <v>100</v>
      </c>
      <c r="Q14" s="13">
        <v>50.0</v>
      </c>
      <c r="R14" s="34">
        <f>PROCESSAMENTO!H19</f>
        <v>41.8</v>
      </c>
      <c r="S14" s="34">
        <f>PROCESSAMENTO!I19</f>
        <v>87.7</v>
      </c>
      <c r="T14" s="34">
        <f>PROCESSAMENTO!J19</f>
        <v>55.2</v>
      </c>
      <c r="Y14" s="13">
        <v>50.0</v>
      </c>
      <c r="Z14" s="34">
        <f>PROCESSAMENTO!H25</f>
        <v>41.8</v>
      </c>
      <c r="AA14" s="34">
        <f>PROCESSAMENTO!I25</f>
        <v>60.3</v>
      </c>
      <c r="AB14" s="34">
        <f>PROCESSAMENTO!J25</f>
        <v>63.5</v>
      </c>
      <c r="AC14" s="80"/>
      <c r="AD14" s="80"/>
      <c r="AE14" s="80"/>
      <c r="AF14" s="80"/>
      <c r="AG14" s="80"/>
      <c r="AH14" s="80"/>
      <c r="AI14" s="80"/>
    </row>
    <row r="15">
      <c r="B15" s="13">
        <v>75.0</v>
      </c>
      <c r="C15" s="34">
        <f>PROCESSAMENTO!H8</f>
        <v>108</v>
      </c>
      <c r="D15" s="34">
        <f>PROCESSAMENTO!I8</f>
        <v>143</v>
      </c>
      <c r="E15" s="34">
        <f>PROCESSAMENTO!J8</f>
        <v>154</v>
      </c>
      <c r="I15" s="13">
        <v>75.0</v>
      </c>
      <c r="J15" s="34">
        <f>PROCESSAMENTO!H14</f>
        <v>108</v>
      </c>
      <c r="K15" s="34">
        <f>PROCESSAMENTO!I14</f>
        <v>136</v>
      </c>
      <c r="L15" s="34">
        <f>PROCESSAMENTO!J14</f>
        <v>158</v>
      </c>
      <c r="Q15" s="13">
        <v>75.0</v>
      </c>
      <c r="R15" s="34">
        <f>PROCESSAMENTO!H20</f>
        <v>62.7</v>
      </c>
      <c r="S15" s="34">
        <f>PROCESSAMENTO!I20</f>
        <v>89.3</v>
      </c>
      <c r="T15" s="34">
        <f>PROCESSAMENTO!J20</f>
        <v>88.3</v>
      </c>
      <c r="Y15" s="13">
        <v>75.0</v>
      </c>
      <c r="Z15" s="34">
        <f>PROCESSAMENTO!H26</f>
        <v>62.7</v>
      </c>
      <c r="AA15" s="34">
        <f>PROCESSAMENTO!I26</f>
        <v>79.3</v>
      </c>
      <c r="AB15" s="34">
        <f>PROCESSAMENTO!J26</f>
        <v>82.7</v>
      </c>
      <c r="AC15" s="80"/>
      <c r="AD15" s="80"/>
      <c r="AE15" s="80"/>
      <c r="AF15" s="80"/>
      <c r="AG15" s="80"/>
      <c r="AH15" s="80"/>
      <c r="AI15" s="80"/>
    </row>
    <row r="16">
      <c r="B16" s="99">
        <v>100.0</v>
      </c>
      <c r="C16" s="34">
        <f>PROCESSAMENTO!H9</f>
        <v>152</v>
      </c>
      <c r="D16" s="34">
        <f>PROCESSAMENTO!I9</f>
        <v>156</v>
      </c>
      <c r="E16" s="34">
        <f>PROCESSAMENTO!J9</f>
        <v>168</v>
      </c>
      <c r="I16" s="99">
        <v>100.0</v>
      </c>
      <c r="J16" s="34">
        <f>PROCESSAMENTO!H15</f>
        <v>152</v>
      </c>
      <c r="K16" s="34">
        <f>PROCESSAMENTO!I15</f>
        <v>164</v>
      </c>
      <c r="L16" s="34">
        <f>PROCESSAMENTO!J15</f>
        <v>183</v>
      </c>
      <c r="Q16" s="99">
        <v>100.0</v>
      </c>
      <c r="R16" s="34">
        <f>PROCESSAMENTO!H21</f>
        <v>77.8</v>
      </c>
      <c r="S16" s="34">
        <f>PROCESSAMENTO!I21</f>
        <v>104</v>
      </c>
      <c r="T16" s="34">
        <f>PROCESSAMENTO!J21</f>
        <v>108</v>
      </c>
      <c r="Y16" s="99">
        <v>100.0</v>
      </c>
      <c r="Z16" s="34">
        <f>PROCESSAMENTO!H27</f>
        <v>77.8</v>
      </c>
      <c r="AA16" s="34">
        <f>PROCESSAMENTO!I27</f>
        <v>95.5</v>
      </c>
      <c r="AB16" s="34">
        <f>PROCESSAMENTO!J27</f>
        <v>106</v>
      </c>
      <c r="AC16" s="80"/>
      <c r="AD16" s="80"/>
      <c r="AE16" s="80"/>
      <c r="AF16" s="80"/>
      <c r="AG16" s="80"/>
      <c r="AH16" s="80"/>
      <c r="AI16" s="80"/>
    </row>
    <row r="18">
      <c r="B18" s="37" t="s">
        <v>13</v>
      </c>
      <c r="C18" s="102" t="s">
        <v>22</v>
      </c>
      <c r="D18" s="102" t="s">
        <v>23</v>
      </c>
      <c r="E18" s="102" t="s">
        <v>24</v>
      </c>
      <c r="I18" s="37" t="s">
        <v>14</v>
      </c>
      <c r="J18" s="102" t="s">
        <v>22</v>
      </c>
      <c r="K18" s="102" t="s">
        <v>23</v>
      </c>
      <c r="L18" s="102" t="s">
        <v>24</v>
      </c>
      <c r="Q18" s="37" t="s">
        <v>18</v>
      </c>
      <c r="R18" s="102" t="s">
        <v>22</v>
      </c>
      <c r="S18" s="102" t="s">
        <v>23</v>
      </c>
      <c r="T18" s="102" t="s">
        <v>24</v>
      </c>
      <c r="Y18" s="37" t="s">
        <v>29</v>
      </c>
      <c r="Z18" s="102" t="s">
        <v>22</v>
      </c>
      <c r="AA18" s="102" t="s">
        <v>23</v>
      </c>
      <c r="AB18" s="102" t="s">
        <v>24</v>
      </c>
      <c r="AC18" s="77"/>
      <c r="AD18" s="77"/>
      <c r="AE18" s="77"/>
      <c r="AF18" s="77"/>
      <c r="AG18" s="77"/>
      <c r="AH18" s="77"/>
      <c r="AI18" s="77"/>
    </row>
    <row r="19">
      <c r="B19" s="11"/>
      <c r="C19" s="103" t="s">
        <v>28</v>
      </c>
      <c r="D19" s="6"/>
      <c r="E19" s="30"/>
      <c r="I19" s="11"/>
      <c r="J19" s="103" t="s">
        <v>28</v>
      </c>
      <c r="K19" s="6"/>
      <c r="L19" s="30"/>
      <c r="Q19" s="11"/>
      <c r="R19" s="103" t="s">
        <v>28</v>
      </c>
      <c r="S19" s="6"/>
      <c r="T19" s="30"/>
      <c r="Y19" s="11"/>
      <c r="Z19" s="103" t="s">
        <v>28</v>
      </c>
      <c r="AA19" s="6"/>
      <c r="AB19" s="30"/>
      <c r="AC19" s="77"/>
      <c r="AD19" s="77"/>
      <c r="AE19" s="77"/>
      <c r="AF19" s="77"/>
      <c r="AG19" s="77"/>
      <c r="AH19" s="77"/>
      <c r="AI19" s="77"/>
    </row>
    <row r="20">
      <c r="B20" s="13">
        <v>0.0</v>
      </c>
      <c r="C20" s="20">
        <f>PROCESSAMENTO!L5</f>
        <v>11.83</v>
      </c>
      <c r="D20" s="20">
        <f>PROCESSAMENTO!M5</f>
        <v>37.4</v>
      </c>
      <c r="E20" s="20">
        <f>PROCESSAMENTO!N5</f>
        <v>31.7</v>
      </c>
      <c r="I20" s="13">
        <v>0.0</v>
      </c>
      <c r="J20" s="20">
        <f>PROCESSAMENTO!L11</f>
        <v>11.83</v>
      </c>
      <c r="K20" s="20">
        <f>PROCESSAMENTO!M11</f>
        <v>20.2</v>
      </c>
      <c r="L20" s="20">
        <f>PROCESSAMENTO!N11</f>
        <v>37.1</v>
      </c>
      <c r="Q20" s="13">
        <v>0.0</v>
      </c>
      <c r="R20" s="20">
        <f>PROCESSAMENTO!L17</f>
        <v>11.83</v>
      </c>
      <c r="S20" s="20">
        <f>PROCESSAMENTO!M17</f>
        <v>37.4</v>
      </c>
      <c r="T20" s="20">
        <f>PROCESSAMENTO!N17</f>
        <v>38.9</v>
      </c>
      <c r="Y20" s="13">
        <v>0.0</v>
      </c>
      <c r="Z20" s="20">
        <f>PROCESSAMENTO!L23</f>
        <v>11.83</v>
      </c>
      <c r="AA20" s="20">
        <f>PROCESSAMENTO!M23</f>
        <v>20.2</v>
      </c>
      <c r="AB20" s="20">
        <f>PROCESSAMENTO!N23</f>
        <v>22.18</v>
      </c>
      <c r="AC20" s="77"/>
      <c r="AD20" s="77"/>
      <c r="AE20" s="77"/>
      <c r="AF20" s="77"/>
      <c r="AG20" s="77"/>
      <c r="AH20" s="77"/>
      <c r="AI20" s="77"/>
    </row>
    <row r="21">
      <c r="B21" s="13">
        <v>25.0</v>
      </c>
      <c r="C21" s="20">
        <f>PROCESSAMENTO!L6</f>
        <v>5.92</v>
      </c>
      <c r="D21" s="20">
        <f>PROCESSAMENTO!M6</f>
        <v>4.5</v>
      </c>
      <c r="E21" s="20">
        <f>PROCESSAMENTO!N6</f>
        <v>4.01</v>
      </c>
      <c r="I21" s="13">
        <v>25.0</v>
      </c>
      <c r="J21" s="20">
        <f>PROCESSAMENTO!L12</f>
        <v>5.92</v>
      </c>
      <c r="K21" s="20">
        <f>PROCESSAMENTO!M12</f>
        <v>4.37</v>
      </c>
      <c r="L21" s="20">
        <f>PROCESSAMENTO!N12</f>
        <v>4.06</v>
      </c>
      <c r="Q21" s="13">
        <v>25.0</v>
      </c>
      <c r="R21" s="20">
        <f>PROCESSAMENTO!L18</f>
        <v>7.48</v>
      </c>
      <c r="S21" s="20">
        <f>PROCESSAMENTO!M18</f>
        <v>4.95</v>
      </c>
      <c r="T21" s="20">
        <f>PROCESSAMENTO!N18</f>
        <v>4.44</v>
      </c>
      <c r="Y21" s="13">
        <v>25.0</v>
      </c>
      <c r="Z21" s="20">
        <f>PROCESSAMENTO!L24</f>
        <v>7.48</v>
      </c>
      <c r="AA21" s="20">
        <f>PROCESSAMENTO!M24</f>
        <v>5.06</v>
      </c>
      <c r="AB21" s="20">
        <f>PROCESSAMENTO!N24</f>
        <v>4.63</v>
      </c>
      <c r="AC21" s="77"/>
      <c r="AD21" s="77"/>
      <c r="AE21" s="77"/>
      <c r="AF21" s="77"/>
      <c r="AG21" s="77"/>
      <c r="AH21" s="77"/>
      <c r="AI21" s="77"/>
    </row>
    <row r="22">
      <c r="B22" s="13">
        <v>50.0</v>
      </c>
      <c r="C22" s="20">
        <f>PROCESSAMENTO!L7</f>
        <v>10.78</v>
      </c>
      <c r="D22" s="20">
        <f>PROCESSAMENTO!M7</f>
        <v>8.48</v>
      </c>
      <c r="E22" s="20">
        <f>PROCESSAMENTO!N7</f>
        <v>7.86</v>
      </c>
      <c r="I22" s="13">
        <v>50.0</v>
      </c>
      <c r="J22" s="20">
        <f>PROCESSAMENTO!L13</f>
        <v>10.78</v>
      </c>
      <c r="K22" s="20">
        <f>PROCESSAMENTO!M13</f>
        <v>8.41</v>
      </c>
      <c r="L22" s="20">
        <f>PROCESSAMENTO!N13</f>
        <v>7.91</v>
      </c>
      <c r="Q22" s="13">
        <v>50.0</v>
      </c>
      <c r="R22" s="20">
        <f>PROCESSAMENTO!L19</f>
        <v>13.65</v>
      </c>
      <c r="S22" s="20">
        <f>PROCESSAMENTO!M19</f>
        <v>9.85</v>
      </c>
      <c r="T22" s="20">
        <f>PROCESSAMENTO!N19</f>
        <v>8.74</v>
      </c>
      <c r="Y22" s="13">
        <v>50.0</v>
      </c>
      <c r="Z22" s="20">
        <f>PROCESSAMENTO!L25</f>
        <v>13.65</v>
      </c>
      <c r="AA22" s="20">
        <f>PROCESSAMENTO!M25</f>
        <v>9.91</v>
      </c>
      <c r="AB22" s="20">
        <f>PROCESSAMENTO!N25</f>
        <v>8.91</v>
      </c>
      <c r="AC22" s="77"/>
      <c r="AD22" s="77"/>
      <c r="AE22" s="77"/>
      <c r="AF22" s="77"/>
      <c r="AG22" s="77"/>
      <c r="AH22" s="77"/>
      <c r="AI22" s="77"/>
    </row>
    <row r="23">
      <c r="B23" s="13">
        <v>75.0</v>
      </c>
      <c r="C23" s="20">
        <f>PROCESSAMENTO!L8</f>
        <v>15.2</v>
      </c>
      <c r="D23" s="20">
        <f>PROCESSAMENTO!M8</f>
        <v>13.36</v>
      </c>
      <c r="E23" s="20">
        <f>PROCESSAMENTO!N8</f>
        <v>12.28</v>
      </c>
      <c r="I23" s="13">
        <v>75.0</v>
      </c>
      <c r="J23" s="20">
        <f>PROCESSAMENTO!L14</f>
        <v>15.2</v>
      </c>
      <c r="K23" s="20">
        <f>PROCESSAMENTO!M14</f>
        <v>13.03</v>
      </c>
      <c r="L23" s="20">
        <f>PROCESSAMENTO!N14</f>
        <v>12.07</v>
      </c>
      <c r="Q23" s="13">
        <v>75.0</v>
      </c>
      <c r="R23" s="20">
        <f>PROCESSAMENTO!L20</f>
        <v>19.62</v>
      </c>
      <c r="S23" s="20">
        <f>PROCESSAMENTO!M20</f>
        <v>14.8</v>
      </c>
      <c r="T23" s="20">
        <f>PROCESSAMENTO!N20</f>
        <v>13.29</v>
      </c>
      <c r="Y23" s="13">
        <v>75.0</v>
      </c>
      <c r="Z23" s="20">
        <f>PROCESSAMENTO!L26</f>
        <v>19.62</v>
      </c>
      <c r="AA23" s="20">
        <f>PROCESSAMENTO!M26</f>
        <v>14.52</v>
      </c>
      <c r="AB23" s="20">
        <f>PROCESSAMENTO!N26</f>
        <v>13.3</v>
      </c>
      <c r="AC23" s="77"/>
      <c r="AD23" s="77"/>
      <c r="AE23" s="77"/>
      <c r="AF23" s="77"/>
      <c r="AG23" s="77"/>
      <c r="AH23" s="77"/>
      <c r="AI23" s="77"/>
    </row>
    <row r="24">
      <c r="B24" s="99">
        <v>100.0</v>
      </c>
      <c r="C24" s="20">
        <f>PROCESSAMENTO!L9</f>
        <v>19.67</v>
      </c>
      <c r="D24" s="20">
        <f>PROCESSAMENTO!M9</f>
        <v>17.64</v>
      </c>
      <c r="E24" s="20">
        <f>PROCESSAMENTO!N9</f>
        <v>16.08</v>
      </c>
      <c r="I24" s="99">
        <v>100.0</v>
      </c>
      <c r="J24" s="20">
        <f>PROCESSAMENTO!L15</f>
        <v>19.67</v>
      </c>
      <c r="K24" s="20">
        <f>PROCESSAMENTO!M15</f>
        <v>17.22</v>
      </c>
      <c r="L24" s="20">
        <f>PROCESSAMENTO!N15</f>
        <v>15.84</v>
      </c>
      <c r="Q24" s="99">
        <v>100.0</v>
      </c>
      <c r="R24" s="20">
        <f>PROCESSAMENTO!L21</f>
        <v>24.94</v>
      </c>
      <c r="S24" s="20">
        <f>PROCESSAMENTO!M21</f>
        <v>18.21</v>
      </c>
      <c r="T24" s="20">
        <f>PROCESSAMENTO!N21</f>
        <v>16.72</v>
      </c>
      <c r="Y24" s="99">
        <v>100.0</v>
      </c>
      <c r="Z24" s="20">
        <f>PROCESSAMENTO!L27</f>
        <v>24.94</v>
      </c>
      <c r="AA24" s="20">
        <f>PROCESSAMENTO!M27</f>
        <v>17.74</v>
      </c>
      <c r="AB24" s="20">
        <f>PROCESSAMENTO!N27</f>
        <v>16.7</v>
      </c>
      <c r="AC24" s="77"/>
      <c r="AD24" s="77"/>
      <c r="AE24" s="77"/>
      <c r="AF24" s="77"/>
      <c r="AG24" s="77"/>
      <c r="AH24" s="77"/>
      <c r="AI24" s="77"/>
    </row>
    <row r="26">
      <c r="B26" s="37" t="s">
        <v>13</v>
      </c>
      <c r="C26" s="104" t="s">
        <v>22</v>
      </c>
      <c r="D26" s="105" t="s">
        <v>23</v>
      </c>
      <c r="E26" s="105" t="s">
        <v>24</v>
      </c>
      <c r="I26" s="37" t="s">
        <v>14</v>
      </c>
      <c r="J26" s="104" t="s">
        <v>22</v>
      </c>
      <c r="K26" s="105" t="s">
        <v>23</v>
      </c>
      <c r="L26" s="105" t="s">
        <v>24</v>
      </c>
      <c r="Q26" s="37" t="s">
        <v>18</v>
      </c>
      <c r="R26" s="104" t="s">
        <v>22</v>
      </c>
      <c r="S26" s="105" t="s">
        <v>23</v>
      </c>
      <c r="T26" s="105" t="s">
        <v>24</v>
      </c>
      <c r="Y26" s="37" t="s">
        <v>29</v>
      </c>
      <c r="Z26" s="104" t="s">
        <v>22</v>
      </c>
      <c r="AA26" s="105" t="s">
        <v>23</v>
      </c>
      <c r="AB26" s="105" t="s">
        <v>24</v>
      </c>
      <c r="AC26" s="80"/>
      <c r="AD26" s="80"/>
      <c r="AE26" s="80"/>
      <c r="AF26" s="80"/>
      <c r="AG26" s="80"/>
      <c r="AH26" s="80"/>
      <c r="AI26" s="80"/>
    </row>
    <row r="27">
      <c r="B27" s="11"/>
      <c r="C27" s="106" t="s">
        <v>5</v>
      </c>
      <c r="D27" s="6"/>
      <c r="E27" s="30"/>
      <c r="I27" s="11"/>
      <c r="J27" s="106" t="s">
        <v>5</v>
      </c>
      <c r="K27" s="6"/>
      <c r="L27" s="30"/>
      <c r="Q27" s="11"/>
      <c r="R27" s="106" t="s">
        <v>5</v>
      </c>
      <c r="S27" s="6"/>
      <c r="T27" s="30"/>
      <c r="Y27" s="11"/>
      <c r="Z27" s="106" t="s">
        <v>5</v>
      </c>
      <c r="AA27" s="6"/>
      <c r="AB27" s="30"/>
      <c r="AC27" s="80"/>
      <c r="AD27" s="80"/>
      <c r="AE27" s="80"/>
      <c r="AF27" s="80"/>
      <c r="AG27" s="80"/>
      <c r="AH27" s="80"/>
      <c r="AI27" s="80"/>
    </row>
    <row r="28">
      <c r="B28" s="13">
        <v>0.0</v>
      </c>
      <c r="C28" s="107">
        <f>PROCESSAMENTO!P5</f>
        <v>0</v>
      </c>
      <c r="D28" s="107">
        <f>PROCESSAMENTO!Q5</f>
        <v>51</v>
      </c>
      <c r="E28" s="107">
        <f>PROCESSAMENTO!R5</f>
        <v>39</v>
      </c>
      <c r="I28" s="13">
        <v>0.0</v>
      </c>
      <c r="J28" s="107">
        <f>PROCESSAMENTO!P11</f>
        <v>0</v>
      </c>
      <c r="K28" s="107">
        <f>PROCESSAMENTO!Q11</f>
        <v>2</v>
      </c>
      <c r="L28" s="107">
        <f>PROCESSAMENTO!R11</f>
        <v>0</v>
      </c>
      <c r="Q28" s="13">
        <v>0.0</v>
      </c>
      <c r="R28" s="107">
        <f>PROCESSAMENTO!P17</f>
        <v>0</v>
      </c>
      <c r="S28" s="107">
        <f>PROCESSAMENTO!Q17</f>
        <v>51</v>
      </c>
      <c r="T28" s="107">
        <f>PROCESSAMENTO!R17</f>
        <v>40</v>
      </c>
      <c r="Y28" s="13">
        <v>0.0</v>
      </c>
      <c r="Z28" s="107">
        <f>PROCESSAMENTO!P23</f>
        <v>0</v>
      </c>
      <c r="AA28" s="107">
        <f>PROCESSAMENTO!Q23</f>
        <v>2</v>
      </c>
      <c r="AB28" s="107">
        <f>PROCESSAMENTO!R23</f>
        <v>1</v>
      </c>
      <c r="AC28" s="80"/>
      <c r="AD28" s="80"/>
      <c r="AE28" s="80"/>
      <c r="AF28" s="80"/>
      <c r="AG28" s="80"/>
      <c r="AH28" s="80"/>
      <c r="AI28" s="80"/>
    </row>
    <row r="29">
      <c r="B29" s="13">
        <v>25.0</v>
      </c>
      <c r="C29" s="107">
        <f>PROCESSAMENTO!P6</f>
        <v>1560</v>
      </c>
      <c r="D29" s="107">
        <f>PROCESSAMENTO!Q6</f>
        <v>685</v>
      </c>
      <c r="E29" s="107">
        <f>PROCESSAMENTO!R6</f>
        <v>1340</v>
      </c>
      <c r="I29" s="13">
        <v>25.0</v>
      </c>
      <c r="J29" s="107">
        <f>PROCESSAMENTO!P12</f>
        <v>1560</v>
      </c>
      <c r="K29" s="107">
        <f>PROCESSAMENTO!Q12</f>
        <v>495</v>
      </c>
      <c r="L29" s="107">
        <f>PROCESSAMENTO!R12</f>
        <v>990</v>
      </c>
      <c r="Q29" s="13">
        <v>25.0</v>
      </c>
      <c r="R29" s="107">
        <f>PROCESSAMENTO!P18</f>
        <v>1315</v>
      </c>
      <c r="S29" s="107">
        <f>PROCESSAMENTO!Q18</f>
        <v>645</v>
      </c>
      <c r="T29" s="107">
        <f>PROCESSAMENTO!R18</f>
        <v>1330</v>
      </c>
      <c r="Y29" s="13">
        <v>25.0</v>
      </c>
      <c r="Z29" s="107">
        <f>PROCESSAMENTO!P24</f>
        <v>1315</v>
      </c>
      <c r="AA29" s="107">
        <f>PROCESSAMENTO!Q24</f>
        <v>595</v>
      </c>
      <c r="AB29" s="107">
        <f>PROCESSAMENTO!R24</f>
        <v>1330</v>
      </c>
      <c r="AC29" s="80"/>
      <c r="AD29" s="80"/>
      <c r="AE29" s="80"/>
      <c r="AF29" s="80"/>
      <c r="AG29" s="80"/>
      <c r="AH29" s="80"/>
      <c r="AI29" s="80"/>
    </row>
    <row r="30">
      <c r="B30" s="13">
        <v>50.0</v>
      </c>
      <c r="C30" s="107">
        <f>PROCESSAMENTO!P7</f>
        <v>2980</v>
      </c>
      <c r="D30" s="107">
        <f>PROCESSAMENTO!Q7</f>
        <v>2780</v>
      </c>
      <c r="E30" s="107">
        <f>PROCESSAMENTO!R7</f>
        <v>2800</v>
      </c>
      <c r="I30" s="13">
        <v>50.0</v>
      </c>
      <c r="J30" s="107">
        <f>PROCESSAMENTO!P13</f>
        <v>2980</v>
      </c>
      <c r="K30" s="107">
        <f>PROCESSAMENTO!Q13</f>
        <v>2300</v>
      </c>
      <c r="L30" s="107">
        <f>PROCESSAMENTO!R13</f>
        <v>2540</v>
      </c>
      <c r="Q30" s="13">
        <v>50.0</v>
      </c>
      <c r="R30" s="107">
        <f>PROCESSAMENTO!P19</f>
        <v>2380</v>
      </c>
      <c r="S30" s="107">
        <f>PROCESSAMENTO!Q19</f>
        <v>2910</v>
      </c>
      <c r="T30" s="107">
        <f>PROCESSAMENTO!R19</f>
        <v>2740</v>
      </c>
      <c r="Y30" s="13">
        <v>50.0</v>
      </c>
      <c r="Z30" s="107">
        <f>PROCESSAMENTO!P25</f>
        <v>2380</v>
      </c>
      <c r="AA30" s="107">
        <f>PROCESSAMENTO!Q25</f>
        <v>2590</v>
      </c>
      <c r="AB30" s="107">
        <f>PROCESSAMENTO!R25</f>
        <v>2740</v>
      </c>
      <c r="AC30" s="80"/>
      <c r="AD30" s="80"/>
      <c r="AE30" s="80"/>
      <c r="AF30" s="80"/>
      <c r="AG30" s="80"/>
      <c r="AH30" s="80"/>
      <c r="AI30" s="80"/>
    </row>
    <row r="31">
      <c r="B31" s="13">
        <v>75.0</v>
      </c>
      <c r="C31" s="107">
        <f>PROCESSAMENTO!P8</f>
        <v>4240</v>
      </c>
      <c r="D31" s="107">
        <f>PROCESSAMENTO!Q8</f>
        <v>1930</v>
      </c>
      <c r="E31" s="107">
        <f>PROCESSAMENTO!R8</f>
        <v>3860</v>
      </c>
      <c r="I31" s="13">
        <v>75.0</v>
      </c>
      <c r="J31" s="107">
        <f>PROCESSAMENTO!P14</f>
        <v>4240</v>
      </c>
      <c r="K31" s="107">
        <f>PROCESSAMENTO!Q14</f>
        <v>1810</v>
      </c>
      <c r="L31" s="107">
        <f>PROCESSAMENTO!R14</f>
        <v>4020</v>
      </c>
      <c r="Q31" s="13">
        <v>75.0</v>
      </c>
      <c r="R31" s="107">
        <f>PROCESSAMENTO!P20</f>
        <v>3660</v>
      </c>
      <c r="S31" s="107">
        <f>PROCESSAMENTO!Q20</f>
        <v>1930</v>
      </c>
      <c r="T31" s="107">
        <f>PROCESSAMENTO!R20</f>
        <v>4120</v>
      </c>
      <c r="Y31" s="13">
        <v>75.0</v>
      </c>
      <c r="Z31" s="107">
        <f>PROCESSAMENTO!P26</f>
        <v>3660</v>
      </c>
      <c r="AA31" s="107">
        <f>PROCESSAMENTO!Q26</f>
        <v>1890</v>
      </c>
      <c r="AB31" s="107">
        <f>PROCESSAMENTO!R26</f>
        <v>4120</v>
      </c>
      <c r="AC31" s="80"/>
      <c r="AD31" s="80"/>
      <c r="AE31" s="80"/>
      <c r="AF31" s="80"/>
      <c r="AG31" s="80"/>
      <c r="AH31" s="80"/>
      <c r="AI31" s="80"/>
    </row>
    <row r="32">
      <c r="B32" s="99">
        <v>100.0</v>
      </c>
      <c r="C32" s="107">
        <f>PROCESSAMENTO!P9</f>
        <v>5780</v>
      </c>
      <c r="D32" s="107">
        <f>PROCESSAMENTO!Q9</f>
        <v>2550</v>
      </c>
      <c r="E32" s="107">
        <f>PROCESSAMENTO!R9</f>
        <v>5260</v>
      </c>
      <c r="I32" s="99">
        <v>100.0</v>
      </c>
      <c r="J32" s="107">
        <f>PROCESSAMENTO!P15</f>
        <v>5780</v>
      </c>
      <c r="K32" s="107">
        <f>PROCESSAMENTO!Q15</f>
        <v>2540</v>
      </c>
      <c r="L32" s="107">
        <f>PROCESSAMENTO!R15</f>
        <v>5040</v>
      </c>
      <c r="Q32" s="99">
        <v>100.0</v>
      </c>
      <c r="R32" s="107">
        <f>PROCESSAMENTO!P21</f>
        <v>5160</v>
      </c>
      <c r="S32" s="107">
        <f>PROCESSAMENTO!Q21</f>
        <v>4840</v>
      </c>
      <c r="T32" s="107">
        <f>PROCESSAMENTO!R21</f>
        <v>5380</v>
      </c>
      <c r="Y32" s="99">
        <v>100.0</v>
      </c>
      <c r="Z32" s="107">
        <f>PROCESSAMENTO!P27</f>
        <v>5160</v>
      </c>
      <c r="AA32" s="107">
        <f>PROCESSAMENTO!Q27</f>
        <v>2460</v>
      </c>
      <c r="AB32" s="107">
        <f>PROCESSAMENTO!R27</f>
        <v>5380</v>
      </c>
      <c r="AC32" s="80"/>
      <c r="AD32" s="80"/>
      <c r="AE32" s="80"/>
      <c r="AF32" s="80"/>
      <c r="AG32" s="80"/>
      <c r="AH32" s="80"/>
      <c r="AI32" s="80"/>
    </row>
    <row r="34">
      <c r="B34" s="37" t="s">
        <v>13</v>
      </c>
      <c r="C34" s="108" t="s">
        <v>22</v>
      </c>
      <c r="D34" s="108" t="s">
        <v>23</v>
      </c>
      <c r="E34" s="108" t="s">
        <v>24</v>
      </c>
      <c r="I34" s="37" t="s">
        <v>14</v>
      </c>
      <c r="J34" s="108" t="s">
        <v>22</v>
      </c>
      <c r="K34" s="108" t="s">
        <v>23</v>
      </c>
      <c r="L34" s="108" t="s">
        <v>24</v>
      </c>
      <c r="Q34" s="37" t="s">
        <v>18</v>
      </c>
      <c r="R34" s="108" t="s">
        <v>22</v>
      </c>
      <c r="S34" s="108" t="s">
        <v>23</v>
      </c>
      <c r="T34" s="108" t="s">
        <v>24</v>
      </c>
      <c r="Y34" s="37" t="s">
        <v>29</v>
      </c>
      <c r="Z34" s="108" t="s">
        <v>22</v>
      </c>
      <c r="AA34" s="108" t="s">
        <v>23</v>
      </c>
      <c r="AB34" s="108" t="s">
        <v>24</v>
      </c>
      <c r="AC34" s="77"/>
      <c r="AD34" s="77"/>
      <c r="AE34" s="77"/>
      <c r="AF34" s="77"/>
      <c r="AG34" s="77"/>
      <c r="AH34" s="77"/>
      <c r="AI34" s="77"/>
    </row>
    <row r="35">
      <c r="B35" s="11"/>
      <c r="C35" s="109" t="s">
        <v>6</v>
      </c>
      <c r="D35" s="6"/>
      <c r="E35" s="30"/>
      <c r="I35" s="11"/>
      <c r="J35" s="109" t="s">
        <v>6</v>
      </c>
      <c r="K35" s="6"/>
      <c r="L35" s="30"/>
      <c r="Q35" s="11"/>
      <c r="R35" s="109" t="s">
        <v>6</v>
      </c>
      <c r="S35" s="6"/>
      <c r="T35" s="30"/>
      <c r="Y35" s="11"/>
      <c r="Z35" s="109" t="s">
        <v>6</v>
      </c>
      <c r="AA35" s="6"/>
      <c r="AB35" s="30"/>
      <c r="AC35" s="110"/>
      <c r="AD35" s="110"/>
      <c r="AE35" s="110"/>
      <c r="AF35" s="110"/>
      <c r="AG35" s="110"/>
      <c r="AH35" s="110"/>
      <c r="AI35" s="110"/>
    </row>
    <row r="36">
      <c r="B36" s="13">
        <v>0.0</v>
      </c>
      <c r="C36" s="20">
        <f>PROCESSAMENTO!T5</f>
        <v>7.855</v>
      </c>
      <c r="D36" s="20">
        <f>PROCESSAMENTO!U5</f>
        <v>85.3918</v>
      </c>
      <c r="E36" s="20">
        <f>PROCESSAMENTO!V5</f>
        <v>50.1478</v>
      </c>
      <c r="I36" s="13">
        <v>0.0</v>
      </c>
      <c r="J36" s="20">
        <f>PROCESSAMENTO!T11</f>
        <v>7.855</v>
      </c>
      <c r="K36" s="20">
        <f>PROCESSAMENTO!U11</f>
        <v>14.9038</v>
      </c>
      <c r="L36" s="20">
        <f>PROCESSAMENTO!V11</f>
        <v>20.7778</v>
      </c>
      <c r="Q36" s="13">
        <v>0.0</v>
      </c>
      <c r="R36" s="20">
        <f>PROCESSAMENTO!T17</f>
        <v>7.855</v>
      </c>
      <c r="S36" s="20">
        <f>PROCESSAMENTO!U17</f>
        <v>85.3918</v>
      </c>
      <c r="T36" s="20">
        <f>PROCESSAMENTO!V17</f>
        <v>50.1478</v>
      </c>
      <c r="Y36" s="13">
        <v>0.0</v>
      </c>
      <c r="Z36" s="20">
        <f>PROCESSAMENTO!T23</f>
        <v>7.855</v>
      </c>
      <c r="AA36" s="20">
        <f>PROCESSAMENTO!U23</f>
        <v>14.9038</v>
      </c>
      <c r="AB36" s="20">
        <f>PROCESSAMENTO!V23</f>
        <v>25.477</v>
      </c>
      <c r="AC36" s="110"/>
      <c r="AD36" s="110"/>
      <c r="AE36" s="110"/>
      <c r="AF36" s="110"/>
      <c r="AG36" s="110"/>
      <c r="AH36" s="110"/>
      <c r="AI36" s="110"/>
    </row>
    <row r="37">
      <c r="B37" s="13">
        <v>25.0</v>
      </c>
      <c r="C37" s="20">
        <f>PROCESSAMENTO!T6</f>
        <v>1511.599</v>
      </c>
      <c r="D37" s="20">
        <f>PROCESSAMENTO!U6</f>
        <v>618.751</v>
      </c>
      <c r="E37" s="20">
        <f>PROCESSAMENTO!V6</f>
        <v>1311.883</v>
      </c>
      <c r="I37" s="13">
        <v>25.0</v>
      </c>
      <c r="J37" s="20">
        <f>PROCESSAMENTO!T12</f>
        <v>1511.599</v>
      </c>
      <c r="K37" s="20">
        <f>PROCESSAMENTO!U12</f>
        <v>589.381</v>
      </c>
      <c r="L37" s="20">
        <f>PROCESSAMENTO!V12</f>
        <v>1182.655</v>
      </c>
      <c r="Q37" s="13">
        <v>25.0</v>
      </c>
      <c r="R37" s="20">
        <f>PROCESSAMENTO!T18</f>
        <v>1611.457</v>
      </c>
      <c r="S37" s="20">
        <f>PROCESSAMENTO!U18</f>
        <v>659.869</v>
      </c>
      <c r="T37" s="20">
        <f>PROCESSAMENTO!V18</f>
        <v>1123.915</v>
      </c>
      <c r="Y37" s="13">
        <v>25.0</v>
      </c>
      <c r="Z37" s="20">
        <f>PROCESSAMENTO!T24</f>
        <v>1611.457</v>
      </c>
      <c r="AA37" s="20">
        <f>PROCESSAMENTO!U24</f>
        <v>659.869</v>
      </c>
      <c r="AB37" s="20">
        <f>PROCESSAMENTO!V24</f>
        <v>1370.623</v>
      </c>
      <c r="AC37" s="110"/>
      <c r="AD37" s="110"/>
      <c r="AE37" s="110"/>
      <c r="AF37" s="110"/>
      <c r="AG37" s="110"/>
      <c r="AH37" s="110"/>
      <c r="AI37" s="110"/>
    </row>
    <row r="38">
      <c r="B38" s="13">
        <v>50.0</v>
      </c>
      <c r="C38" s="20">
        <f>PROCESSAMENTO!T7</f>
        <v>3015.343</v>
      </c>
      <c r="D38" s="20">
        <f>PROCESSAMENTO!U7</f>
        <v>2369.203</v>
      </c>
      <c r="E38" s="20">
        <f>PROCESSAMENTO!V7</f>
        <v>2510.179</v>
      </c>
      <c r="I38" s="13">
        <v>50.0</v>
      </c>
      <c r="J38" s="20">
        <f>PROCESSAMENTO!T13</f>
        <v>3015.343</v>
      </c>
      <c r="K38" s="20">
        <f>PROCESSAMENTO!U13</f>
        <v>2275.219</v>
      </c>
      <c r="L38" s="20">
        <f>PROCESSAMENTO!V13</f>
        <v>2322.211</v>
      </c>
      <c r="Q38" s="13">
        <v>50.0</v>
      </c>
      <c r="R38" s="20">
        <f>PROCESSAMENTO!T19</f>
        <v>2980.099</v>
      </c>
      <c r="S38" s="20">
        <f>PROCESSAMENTO!U19</f>
        <v>2580.667</v>
      </c>
      <c r="T38" s="20">
        <f>PROCESSAMENTO!V19</f>
        <v>2357.455</v>
      </c>
      <c r="Y38" s="13">
        <v>50.0</v>
      </c>
      <c r="Z38" s="20">
        <f>PROCESSAMENTO!T25</f>
        <v>2980.099</v>
      </c>
      <c r="AA38" s="20">
        <f>PROCESSAMENTO!U25</f>
        <v>2580.667</v>
      </c>
      <c r="AB38" s="20">
        <f>PROCESSAMENTO!V25</f>
        <v>2580.667</v>
      </c>
      <c r="AC38" s="110"/>
      <c r="AD38" s="110"/>
      <c r="AE38" s="110"/>
      <c r="AF38" s="110"/>
      <c r="AG38" s="110"/>
      <c r="AH38" s="110"/>
      <c r="AI38" s="110"/>
    </row>
    <row r="39">
      <c r="B39" s="13">
        <v>75.0</v>
      </c>
      <c r="C39" s="20">
        <f>PROCESSAMENTO!T8</f>
        <v>3919.939</v>
      </c>
      <c r="D39" s="20">
        <f>PROCESSAMENTO!U8</f>
        <v>1946.275</v>
      </c>
      <c r="E39" s="20">
        <f>PROCESSAMENTO!V8</f>
        <v>4225.387</v>
      </c>
      <c r="I39" s="13">
        <v>75.0</v>
      </c>
      <c r="J39" s="20">
        <f>PROCESSAMENTO!T14</f>
        <v>3919.939</v>
      </c>
      <c r="K39" s="20">
        <f>PROCESSAMENTO!U14</f>
        <v>1852.291</v>
      </c>
      <c r="L39" s="20">
        <f>PROCESSAMENTO!V14</f>
        <v>3872.947</v>
      </c>
      <c r="Q39" s="13">
        <v>75.0</v>
      </c>
      <c r="R39" s="20">
        <f>PROCESSAMENTO!T20</f>
        <v>4554.331</v>
      </c>
      <c r="S39" s="20">
        <f>PROCESSAMENTO!U20</f>
        <v>1887.535</v>
      </c>
      <c r="T39" s="20">
        <f>PROCESSAMENTO!V20</f>
        <v>3919.939</v>
      </c>
      <c r="Y39" s="13">
        <v>75.0</v>
      </c>
      <c r="Z39" s="20">
        <f>PROCESSAMENTO!T26</f>
        <v>4554.331</v>
      </c>
      <c r="AA39" s="20">
        <f>PROCESSAMENTO!U26</f>
        <v>1887.535</v>
      </c>
      <c r="AB39" s="20">
        <f>PROCESSAMENTO!V26</f>
        <v>5212.219</v>
      </c>
      <c r="AC39" s="110"/>
      <c r="AD39" s="110"/>
      <c r="AE39" s="110"/>
      <c r="AF39" s="110"/>
      <c r="AG39" s="110"/>
      <c r="AH39" s="110"/>
      <c r="AI39" s="110"/>
    </row>
    <row r="40">
      <c r="B40" s="99">
        <v>100.0</v>
      </c>
      <c r="C40" s="20">
        <f>PROCESSAMENTO!T9</f>
        <v>5188.723</v>
      </c>
      <c r="D40" s="20">
        <f>PROCESSAMENTO!U9</f>
        <v>2533.675</v>
      </c>
      <c r="E40" s="20">
        <f>PROCESSAMENTO!V9</f>
        <v>5729.131</v>
      </c>
      <c r="I40" s="99">
        <v>100.0</v>
      </c>
      <c r="J40" s="20">
        <f>PROCESSAMENTO!T15</f>
        <v>5188.723</v>
      </c>
      <c r="K40" s="20">
        <f>PROCESSAMENTO!U15</f>
        <v>2639.407</v>
      </c>
      <c r="L40" s="20">
        <f>PROCESSAMENTO!V15</f>
        <v>4906.771</v>
      </c>
      <c r="Q40" s="99">
        <v>100.0</v>
      </c>
      <c r="R40" s="20">
        <f>PROCESSAMENTO!T21</f>
        <v>6199.051</v>
      </c>
      <c r="S40" s="20">
        <f>PROCESSAMENTO!U21</f>
        <v>2427.943</v>
      </c>
      <c r="T40" s="20">
        <f>PROCESSAMENTO!V21</f>
        <v>5165.227</v>
      </c>
      <c r="Y40" s="99">
        <v>100.0</v>
      </c>
      <c r="Z40" s="20">
        <f>PROCESSAMENTO!T27</f>
        <v>6199.051</v>
      </c>
      <c r="AA40" s="20">
        <f>PROCESSAMENTO!U27</f>
        <v>2427.943</v>
      </c>
      <c r="AB40" s="20">
        <f>PROCESSAMENTO!V27</f>
        <v>5329.699</v>
      </c>
      <c r="AC40" s="110"/>
      <c r="AD40" s="110"/>
      <c r="AE40" s="110"/>
      <c r="AF40" s="110"/>
      <c r="AG40" s="110"/>
      <c r="AH40" s="110"/>
      <c r="AI40" s="110"/>
    </row>
    <row r="42">
      <c r="B42" s="111" t="s">
        <v>30</v>
      </c>
    </row>
    <row r="44">
      <c r="B44" s="7" t="s">
        <v>31</v>
      </c>
      <c r="C44" s="7" t="s">
        <v>13</v>
      </c>
      <c r="D44" s="7" t="s">
        <v>14</v>
      </c>
      <c r="E44" s="7" t="s">
        <v>18</v>
      </c>
      <c r="F44" s="13" t="s">
        <v>16</v>
      </c>
    </row>
    <row r="45">
      <c r="B45" s="7">
        <v>0.0</v>
      </c>
      <c r="C45" s="112">
        <f>PROCESSAMENTO!W5</f>
        <v>-538.4188415</v>
      </c>
      <c r="D45" s="113">
        <f>PROCESSAMENTO!W11</f>
        <v>-164.5168682</v>
      </c>
      <c r="E45" s="113">
        <f>PROCESSAMENTO!W17</f>
        <v>-538.4188415</v>
      </c>
      <c r="F45" s="113">
        <f>PROCESSAMENTO!W23</f>
        <v>-224.341184</v>
      </c>
    </row>
    <row r="46">
      <c r="B46" s="7">
        <v>25.0</v>
      </c>
      <c r="C46" s="114">
        <f>PROCESSAMENTO!W6</f>
        <v>13.2122342</v>
      </c>
      <c r="D46" s="115">
        <f>PROCESSAMENTO!W12</f>
        <v>21.76132691</v>
      </c>
      <c r="E46" s="115">
        <f>PROCESSAMENTO!W18</f>
        <v>30.25473221</v>
      </c>
      <c r="F46" s="115">
        <f>PROCESSAMENTO!W24</f>
        <v>14.94510868</v>
      </c>
    </row>
    <row r="47">
      <c r="B47" s="7">
        <v>50.0</v>
      </c>
      <c r="C47" s="114">
        <f>PROCESSAMENTO!W7</f>
        <v>16.75311897</v>
      </c>
      <c r="D47" s="115">
        <f>PROCESSAMENTO!W13</f>
        <v>22.98683765</v>
      </c>
      <c r="E47" s="115">
        <f>PROCESSAMENTO!W19</f>
        <v>20.89339985</v>
      </c>
      <c r="F47" s="115">
        <f>PROCESSAMENTO!W25</f>
        <v>13.40331311</v>
      </c>
    </row>
    <row r="48">
      <c r="B48" s="7">
        <v>75.0</v>
      </c>
      <c r="C48" s="114">
        <f>PROCESSAMENTO!W8</f>
        <v>-7.792162072</v>
      </c>
      <c r="D48" s="115">
        <f>PROCESSAMENTO!W14</f>
        <v>1.198794165</v>
      </c>
      <c r="E48" s="115">
        <f>PROCESSAMENTO!W20</f>
        <v>13.92942235</v>
      </c>
      <c r="F48" s="115">
        <f>PROCESSAMENTO!W26</f>
        <v>-14.44532688</v>
      </c>
    </row>
    <row r="49">
      <c r="B49" s="82">
        <v>100.0</v>
      </c>
      <c r="C49" s="116">
        <f>PROCESSAMENTO!W9</f>
        <v>-10.41504817</v>
      </c>
      <c r="D49" s="107">
        <f>PROCESSAMENTO!W15</f>
        <v>5.433938177</v>
      </c>
      <c r="E49" s="107">
        <f>PROCESSAMENTO!W21</f>
        <v>16.67713332</v>
      </c>
      <c r="F49" s="107">
        <f>PROCESSAMENTO!W27</f>
        <v>14.02395302</v>
      </c>
    </row>
    <row r="50"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</row>
    <row r="51">
      <c r="B51" s="118"/>
    </row>
    <row r="53">
      <c r="B53" s="37" t="s">
        <v>2</v>
      </c>
      <c r="C53" s="119" t="s">
        <v>23</v>
      </c>
      <c r="D53" s="6"/>
      <c r="E53" s="6"/>
      <c r="F53" s="30"/>
      <c r="J53" s="37" t="s">
        <v>2</v>
      </c>
      <c r="K53" s="119" t="s">
        <v>24</v>
      </c>
      <c r="L53" s="6"/>
      <c r="M53" s="6"/>
      <c r="N53" s="30"/>
    </row>
    <row r="54">
      <c r="B54" s="11"/>
      <c r="C54" s="120" t="s">
        <v>13</v>
      </c>
      <c r="D54" s="120" t="s">
        <v>14</v>
      </c>
      <c r="E54" s="120" t="s">
        <v>18</v>
      </c>
      <c r="F54" s="120" t="s">
        <v>16</v>
      </c>
      <c r="J54" s="11"/>
      <c r="K54" s="120" t="s">
        <v>13</v>
      </c>
      <c r="L54" s="120" t="s">
        <v>14</v>
      </c>
      <c r="M54" s="120" t="s">
        <v>18</v>
      </c>
      <c r="N54" s="120" t="s">
        <v>16</v>
      </c>
    </row>
    <row r="55">
      <c r="B55" s="13">
        <v>0.0</v>
      </c>
      <c r="C55" s="39">
        <f t="shared" ref="C55:C59" si="1">D4</f>
        <v>8.85</v>
      </c>
      <c r="D55" s="34">
        <f t="shared" ref="D55:D59" si="2">K4</f>
        <v>8.47</v>
      </c>
      <c r="E55" s="20">
        <f t="shared" ref="E55:E59" si="3">S4</f>
        <v>8.85</v>
      </c>
      <c r="F55" s="20">
        <f t="shared" ref="F55:F59" si="4">AA4</f>
        <v>8.47</v>
      </c>
      <c r="J55" s="13">
        <v>0.0</v>
      </c>
      <c r="K55" s="39">
        <f t="shared" ref="K55:K59" si="5">E4</f>
        <v>5.83</v>
      </c>
      <c r="L55" s="34">
        <f t="shared" ref="L55:L59" si="6">L4</f>
        <v>7.93</v>
      </c>
      <c r="M55" s="20">
        <f t="shared" ref="M55:M59" si="7">T4</f>
        <v>8.09</v>
      </c>
      <c r="N55" s="20">
        <f t="shared" ref="N55:N59" si="8">AB4</f>
        <v>8.04</v>
      </c>
    </row>
    <row r="56">
      <c r="B56" s="13">
        <v>25.0</v>
      </c>
      <c r="C56" s="39">
        <f t="shared" si="1"/>
        <v>9.25</v>
      </c>
      <c r="D56" s="34">
        <f t="shared" si="2"/>
        <v>9.26</v>
      </c>
      <c r="E56" s="20">
        <f t="shared" si="3"/>
        <v>9.22</v>
      </c>
      <c r="F56" s="20">
        <f t="shared" si="4"/>
        <v>9.29</v>
      </c>
      <c r="J56" s="13">
        <v>25.0</v>
      </c>
      <c r="K56" s="39">
        <f t="shared" si="5"/>
        <v>8.65</v>
      </c>
      <c r="L56" s="34">
        <f t="shared" si="6"/>
        <v>8.65</v>
      </c>
      <c r="M56" s="20">
        <f t="shared" si="7"/>
        <v>8.66</v>
      </c>
      <c r="N56" s="20">
        <f t="shared" si="8"/>
        <v>8.72</v>
      </c>
    </row>
    <row r="57">
      <c r="B57" s="13">
        <v>50.0</v>
      </c>
      <c r="C57" s="39">
        <f t="shared" si="1"/>
        <v>9.37</v>
      </c>
      <c r="D57" s="34">
        <f t="shared" si="2"/>
        <v>9.38</v>
      </c>
      <c r="E57" s="20">
        <f t="shared" si="3"/>
        <v>9.34</v>
      </c>
      <c r="F57" s="20">
        <f t="shared" si="4"/>
        <v>9.34</v>
      </c>
      <c r="J57" s="13">
        <v>50.0</v>
      </c>
      <c r="K57" s="39">
        <f t="shared" si="5"/>
        <v>8.8</v>
      </c>
      <c r="L57" s="34">
        <f t="shared" si="6"/>
        <v>8.75</v>
      </c>
      <c r="M57" s="20">
        <f t="shared" si="7"/>
        <v>8.72</v>
      </c>
      <c r="N57" s="20">
        <f t="shared" si="8"/>
        <v>8.79</v>
      </c>
    </row>
    <row r="58">
      <c r="B58" s="13">
        <v>75.0</v>
      </c>
      <c r="C58" s="39">
        <f t="shared" si="1"/>
        <v>9.44</v>
      </c>
      <c r="D58" s="34">
        <f t="shared" si="2"/>
        <v>9.44</v>
      </c>
      <c r="E58" s="20">
        <f t="shared" si="3"/>
        <v>9.3</v>
      </c>
      <c r="F58" s="20">
        <f t="shared" si="4"/>
        <v>9.36</v>
      </c>
      <c r="J58" s="13">
        <v>75.0</v>
      </c>
      <c r="K58" s="39">
        <f t="shared" si="5"/>
        <v>8.88</v>
      </c>
      <c r="L58" s="34">
        <f t="shared" si="6"/>
        <v>8.73</v>
      </c>
      <c r="M58" s="20">
        <f t="shared" si="7"/>
        <v>8.75</v>
      </c>
      <c r="N58" s="20">
        <f t="shared" si="8"/>
        <v>8.8</v>
      </c>
    </row>
    <row r="59">
      <c r="B59" s="99">
        <v>100.0</v>
      </c>
      <c r="C59" s="39">
        <f t="shared" si="1"/>
        <v>9.44</v>
      </c>
      <c r="D59" s="34">
        <f t="shared" si="2"/>
        <v>9.46</v>
      </c>
      <c r="E59" s="20">
        <f t="shared" si="3"/>
        <v>9.33</v>
      </c>
      <c r="F59" s="20">
        <f t="shared" si="4"/>
        <v>9.3</v>
      </c>
      <c r="J59" s="99">
        <v>100.0</v>
      </c>
      <c r="K59" s="39">
        <f t="shared" si="5"/>
        <v>8.89</v>
      </c>
      <c r="L59" s="34">
        <f t="shared" si="6"/>
        <v>8.9</v>
      </c>
      <c r="M59" s="20">
        <f t="shared" si="7"/>
        <v>8.78</v>
      </c>
      <c r="N59" s="20">
        <f t="shared" si="8"/>
        <v>8.76</v>
      </c>
    </row>
    <row r="61">
      <c r="B61" s="37" t="s">
        <v>32</v>
      </c>
      <c r="C61" s="121" t="s">
        <v>23</v>
      </c>
      <c r="D61" s="6"/>
      <c r="E61" s="6"/>
      <c r="F61" s="30"/>
      <c r="J61" s="37" t="s">
        <v>32</v>
      </c>
      <c r="K61" s="121" t="s">
        <v>24</v>
      </c>
      <c r="L61" s="6"/>
      <c r="M61" s="6"/>
      <c r="N61" s="30"/>
    </row>
    <row r="62">
      <c r="B62" s="11"/>
      <c r="C62" s="122" t="s">
        <v>13</v>
      </c>
      <c r="D62" s="122" t="s">
        <v>14</v>
      </c>
      <c r="E62" s="122" t="s">
        <v>18</v>
      </c>
      <c r="F62" s="122" t="s">
        <v>16</v>
      </c>
      <c r="J62" s="11"/>
      <c r="K62" s="122" t="s">
        <v>13</v>
      </c>
      <c r="L62" s="122" t="s">
        <v>14</v>
      </c>
      <c r="M62" s="122" t="s">
        <v>18</v>
      </c>
      <c r="N62" s="122" t="s">
        <v>16</v>
      </c>
    </row>
    <row r="63">
      <c r="B63" s="13">
        <v>0.0</v>
      </c>
      <c r="C63" s="39">
        <f t="shared" ref="C63:C67" si="9">D12</f>
        <v>0.061</v>
      </c>
      <c r="D63" s="34">
        <f t="shared" ref="D63:D67" si="10">K12</f>
        <v>0</v>
      </c>
      <c r="E63" s="20">
        <f t="shared" ref="E63:E67" si="11">S12</f>
        <v>0.61</v>
      </c>
      <c r="F63" s="20">
        <f t="shared" ref="F63:F67" si="12">AA12</f>
        <v>0</v>
      </c>
      <c r="J63" s="13">
        <v>0.0</v>
      </c>
      <c r="K63" s="39">
        <f t="shared" ref="K63:K67" si="13">E12</f>
        <v>2.07</v>
      </c>
      <c r="L63" s="34">
        <f t="shared" ref="L63:L67" si="14">L12</f>
        <v>1.97</v>
      </c>
      <c r="M63" s="20">
        <f t="shared" ref="M63:M67" si="15">T12</f>
        <v>2.96</v>
      </c>
      <c r="N63" s="20">
        <f t="shared" ref="N63:N67" si="16">AB12</f>
        <v>1.62</v>
      </c>
    </row>
    <row r="64">
      <c r="B64" s="13">
        <v>25.0</v>
      </c>
      <c r="C64" s="39">
        <f t="shared" si="9"/>
        <v>65.5</v>
      </c>
      <c r="D64" s="34">
        <f t="shared" si="10"/>
        <v>49.8</v>
      </c>
      <c r="E64" s="20">
        <f t="shared" si="11"/>
        <v>45.1</v>
      </c>
      <c r="F64" s="20">
        <f t="shared" si="12"/>
        <v>33.3</v>
      </c>
      <c r="J64" s="13">
        <v>25.0</v>
      </c>
      <c r="K64" s="39">
        <f t="shared" si="13"/>
        <v>66.7</v>
      </c>
      <c r="L64" s="34">
        <f t="shared" si="14"/>
        <v>53.5</v>
      </c>
      <c r="M64" s="20">
        <f t="shared" si="15"/>
        <v>30.4</v>
      </c>
      <c r="N64" s="20">
        <f t="shared" si="16"/>
        <v>30.8</v>
      </c>
    </row>
    <row r="65">
      <c r="B65" s="13">
        <v>50.0</v>
      </c>
      <c r="C65" s="39">
        <f t="shared" si="9"/>
        <v>107</v>
      </c>
      <c r="D65" s="34">
        <f t="shared" si="10"/>
        <v>86.6</v>
      </c>
      <c r="E65" s="20">
        <f t="shared" si="11"/>
        <v>87.7</v>
      </c>
      <c r="F65" s="20">
        <f t="shared" si="12"/>
        <v>60.3</v>
      </c>
      <c r="J65" s="13">
        <v>50.0</v>
      </c>
      <c r="K65" s="39">
        <f t="shared" si="13"/>
        <v>111</v>
      </c>
      <c r="L65" s="34">
        <f t="shared" si="14"/>
        <v>100</v>
      </c>
      <c r="M65" s="20">
        <f t="shared" si="15"/>
        <v>55.2</v>
      </c>
      <c r="N65" s="20">
        <f t="shared" si="16"/>
        <v>63.5</v>
      </c>
    </row>
    <row r="66">
      <c r="B66" s="13">
        <v>75.0</v>
      </c>
      <c r="C66" s="39">
        <f t="shared" si="9"/>
        <v>143</v>
      </c>
      <c r="D66" s="34">
        <f t="shared" si="10"/>
        <v>136</v>
      </c>
      <c r="E66" s="20">
        <f t="shared" si="11"/>
        <v>89.3</v>
      </c>
      <c r="F66" s="20">
        <f t="shared" si="12"/>
        <v>79.3</v>
      </c>
      <c r="J66" s="13">
        <v>75.0</v>
      </c>
      <c r="K66" s="39">
        <f t="shared" si="13"/>
        <v>154</v>
      </c>
      <c r="L66" s="34">
        <f t="shared" si="14"/>
        <v>158</v>
      </c>
      <c r="M66" s="20">
        <f t="shared" si="15"/>
        <v>88.3</v>
      </c>
      <c r="N66" s="20">
        <f t="shared" si="16"/>
        <v>82.7</v>
      </c>
    </row>
    <row r="67">
      <c r="B67" s="99">
        <v>100.0</v>
      </c>
      <c r="C67" s="39">
        <f t="shared" si="9"/>
        <v>156</v>
      </c>
      <c r="D67" s="34">
        <f t="shared" si="10"/>
        <v>164</v>
      </c>
      <c r="E67" s="20">
        <f t="shared" si="11"/>
        <v>104</v>
      </c>
      <c r="F67" s="20">
        <f t="shared" si="12"/>
        <v>95.5</v>
      </c>
      <c r="J67" s="99">
        <v>100.0</v>
      </c>
      <c r="K67" s="39">
        <f t="shared" si="13"/>
        <v>168</v>
      </c>
      <c r="L67" s="34">
        <f t="shared" si="14"/>
        <v>183</v>
      </c>
      <c r="M67" s="20">
        <f t="shared" si="15"/>
        <v>108</v>
      </c>
      <c r="N67" s="20">
        <f t="shared" si="16"/>
        <v>106</v>
      </c>
    </row>
    <row r="69">
      <c r="B69" s="37" t="s">
        <v>33</v>
      </c>
      <c r="C69" s="123" t="s">
        <v>23</v>
      </c>
      <c r="D69" s="6"/>
      <c r="E69" s="6"/>
      <c r="F69" s="30"/>
      <c r="J69" s="37" t="s">
        <v>33</v>
      </c>
      <c r="K69" s="123" t="s">
        <v>24</v>
      </c>
      <c r="L69" s="6"/>
      <c r="M69" s="6"/>
      <c r="N69" s="30"/>
    </row>
    <row r="70">
      <c r="B70" s="11"/>
      <c r="C70" s="124" t="s">
        <v>13</v>
      </c>
      <c r="D70" s="124" t="s">
        <v>14</v>
      </c>
      <c r="E70" s="124" t="s">
        <v>18</v>
      </c>
      <c r="F70" s="124" t="s">
        <v>16</v>
      </c>
      <c r="J70" s="11"/>
      <c r="K70" s="124" t="s">
        <v>13</v>
      </c>
      <c r="L70" s="124" t="s">
        <v>14</v>
      </c>
      <c r="M70" s="124" t="s">
        <v>18</v>
      </c>
      <c r="N70" s="124" t="s">
        <v>16</v>
      </c>
    </row>
    <row r="71">
      <c r="B71" s="13">
        <v>0.0</v>
      </c>
      <c r="C71" s="39"/>
      <c r="D71" s="34"/>
      <c r="E71" s="20"/>
      <c r="F71" s="20"/>
      <c r="J71" s="13">
        <v>0.0</v>
      </c>
      <c r="K71" s="39"/>
      <c r="L71" s="34"/>
      <c r="M71" s="20"/>
      <c r="N71" s="20"/>
    </row>
    <row r="72">
      <c r="B72" s="13">
        <v>25.0</v>
      </c>
      <c r="C72" s="39"/>
      <c r="D72" s="34"/>
      <c r="E72" s="20"/>
      <c r="F72" s="20"/>
      <c r="J72" s="13">
        <v>25.0</v>
      </c>
      <c r="K72" s="39"/>
      <c r="L72" s="34"/>
      <c r="M72" s="20"/>
      <c r="N72" s="20"/>
    </row>
    <row r="73">
      <c r="B73" s="13">
        <v>50.0</v>
      </c>
      <c r="C73" s="39"/>
      <c r="D73" s="34"/>
      <c r="E73" s="20"/>
      <c r="F73" s="20"/>
      <c r="J73" s="13">
        <v>50.0</v>
      </c>
      <c r="K73" s="39"/>
      <c r="L73" s="34"/>
      <c r="M73" s="20"/>
      <c r="N73" s="20"/>
    </row>
    <row r="74">
      <c r="B74" s="13">
        <v>75.0</v>
      </c>
      <c r="C74" s="39"/>
      <c r="D74" s="34"/>
      <c r="E74" s="20"/>
      <c r="F74" s="20"/>
      <c r="J74" s="13">
        <v>75.0</v>
      </c>
      <c r="K74" s="39"/>
      <c r="L74" s="34"/>
      <c r="M74" s="20"/>
      <c r="N74" s="20"/>
    </row>
    <row r="75">
      <c r="B75" s="99">
        <v>100.0</v>
      </c>
      <c r="C75" s="39"/>
      <c r="D75" s="34"/>
      <c r="E75" s="20"/>
      <c r="F75" s="20"/>
      <c r="J75" s="99">
        <v>100.0</v>
      </c>
      <c r="K75" s="39"/>
      <c r="L75" s="34"/>
      <c r="M75" s="20"/>
      <c r="N75" s="20"/>
    </row>
    <row r="77">
      <c r="B77" s="37" t="s">
        <v>34</v>
      </c>
      <c r="C77" s="125" t="s">
        <v>23</v>
      </c>
      <c r="D77" s="6"/>
      <c r="E77" s="6"/>
      <c r="F77" s="30"/>
      <c r="J77" s="37" t="s">
        <v>34</v>
      </c>
      <c r="K77" s="125" t="s">
        <v>24</v>
      </c>
      <c r="L77" s="6"/>
      <c r="M77" s="6"/>
      <c r="N77" s="30"/>
    </row>
    <row r="78">
      <c r="B78" s="11"/>
      <c r="C78" s="126" t="s">
        <v>13</v>
      </c>
      <c r="D78" s="126" t="s">
        <v>14</v>
      </c>
      <c r="E78" s="126" t="s">
        <v>18</v>
      </c>
      <c r="F78" s="126" t="s">
        <v>16</v>
      </c>
      <c r="J78" s="11"/>
      <c r="K78" s="126" t="s">
        <v>13</v>
      </c>
      <c r="L78" s="126" t="s">
        <v>14</v>
      </c>
      <c r="M78" s="126" t="s">
        <v>18</v>
      </c>
      <c r="N78" s="126" t="s">
        <v>16</v>
      </c>
    </row>
    <row r="79">
      <c r="B79" s="13">
        <v>0.0</v>
      </c>
      <c r="C79" s="34">
        <f t="shared" ref="C79:C83" si="17">D28</f>
        <v>51</v>
      </c>
      <c r="D79" s="34">
        <f t="shared" ref="D79:D83" si="18">K28</f>
        <v>2</v>
      </c>
      <c r="E79" s="34">
        <f t="shared" ref="E79:E83" si="19">S28</f>
        <v>51</v>
      </c>
      <c r="F79" s="127">
        <f t="shared" ref="F79:F83" si="20">AA28</f>
        <v>2</v>
      </c>
      <c r="G79" s="88"/>
      <c r="J79" s="13">
        <v>0.0</v>
      </c>
      <c r="K79" s="46">
        <f t="shared" ref="K79:K83" si="21">E28</f>
        <v>39</v>
      </c>
      <c r="L79" s="46">
        <f t="shared" ref="L79:L83" si="22">L28</f>
        <v>0</v>
      </c>
      <c r="M79" s="46">
        <f t="shared" ref="M79:M83" si="23">T28</f>
        <v>40</v>
      </c>
      <c r="N79" s="46">
        <f t="shared" ref="N79:N83" si="24">AB28</f>
        <v>1</v>
      </c>
    </row>
    <row r="80">
      <c r="B80" s="13">
        <v>25.0</v>
      </c>
      <c r="C80" s="34">
        <f t="shared" si="17"/>
        <v>685</v>
      </c>
      <c r="D80" s="34">
        <f t="shared" si="18"/>
        <v>495</v>
      </c>
      <c r="E80" s="34">
        <f t="shared" si="19"/>
        <v>645</v>
      </c>
      <c r="F80" s="127">
        <f t="shared" si="20"/>
        <v>595</v>
      </c>
      <c r="G80" s="88"/>
      <c r="J80" s="13">
        <v>25.0</v>
      </c>
      <c r="K80" s="46">
        <f t="shared" si="21"/>
        <v>1340</v>
      </c>
      <c r="L80" s="46">
        <f t="shared" si="22"/>
        <v>990</v>
      </c>
      <c r="M80" s="46">
        <f t="shared" si="23"/>
        <v>1330</v>
      </c>
      <c r="N80" s="46">
        <f t="shared" si="24"/>
        <v>1330</v>
      </c>
    </row>
    <row r="81">
      <c r="B81" s="13">
        <v>50.0</v>
      </c>
      <c r="C81" s="34">
        <f t="shared" si="17"/>
        <v>2780</v>
      </c>
      <c r="D81" s="34">
        <f t="shared" si="18"/>
        <v>2300</v>
      </c>
      <c r="E81" s="34">
        <f t="shared" si="19"/>
        <v>2910</v>
      </c>
      <c r="F81" s="127">
        <f t="shared" si="20"/>
        <v>2590</v>
      </c>
      <c r="G81" s="88"/>
      <c r="J81" s="13">
        <v>50.0</v>
      </c>
      <c r="K81" s="46">
        <f t="shared" si="21"/>
        <v>2800</v>
      </c>
      <c r="L81" s="46">
        <f t="shared" si="22"/>
        <v>2540</v>
      </c>
      <c r="M81" s="46">
        <f t="shared" si="23"/>
        <v>2740</v>
      </c>
      <c r="N81" s="46">
        <f t="shared" si="24"/>
        <v>2740</v>
      </c>
    </row>
    <row r="82">
      <c r="B82" s="13">
        <v>75.0</v>
      </c>
      <c r="C82" s="34">
        <f t="shared" si="17"/>
        <v>1930</v>
      </c>
      <c r="D82" s="34">
        <f t="shared" si="18"/>
        <v>1810</v>
      </c>
      <c r="E82" s="34">
        <f t="shared" si="19"/>
        <v>1930</v>
      </c>
      <c r="F82" s="127">
        <f t="shared" si="20"/>
        <v>1890</v>
      </c>
      <c r="G82" s="88"/>
      <c r="J82" s="13">
        <v>75.0</v>
      </c>
      <c r="K82" s="46">
        <f t="shared" si="21"/>
        <v>3860</v>
      </c>
      <c r="L82" s="46">
        <f t="shared" si="22"/>
        <v>4020</v>
      </c>
      <c r="M82" s="46">
        <f t="shared" si="23"/>
        <v>4120</v>
      </c>
      <c r="N82" s="46">
        <f t="shared" si="24"/>
        <v>4120</v>
      </c>
    </row>
    <row r="83">
      <c r="B83" s="99">
        <v>100.0</v>
      </c>
      <c r="C83" s="34">
        <f t="shared" si="17"/>
        <v>2550</v>
      </c>
      <c r="D83" s="34">
        <f t="shared" si="18"/>
        <v>2540</v>
      </c>
      <c r="E83" s="34">
        <f t="shared" si="19"/>
        <v>4840</v>
      </c>
      <c r="F83" s="127">
        <f t="shared" si="20"/>
        <v>2460</v>
      </c>
      <c r="G83" s="88"/>
      <c r="J83" s="99">
        <v>100.0</v>
      </c>
      <c r="K83" s="46">
        <f t="shared" si="21"/>
        <v>5260</v>
      </c>
      <c r="L83" s="46">
        <f t="shared" si="22"/>
        <v>5040</v>
      </c>
      <c r="M83" s="46">
        <f t="shared" si="23"/>
        <v>5380</v>
      </c>
      <c r="N83" s="46">
        <f t="shared" si="24"/>
        <v>5380</v>
      </c>
    </row>
    <row r="85">
      <c r="B85" s="37" t="s">
        <v>6</v>
      </c>
      <c r="C85" s="128" t="s">
        <v>23</v>
      </c>
      <c r="D85" s="6"/>
      <c r="E85" s="6"/>
      <c r="F85" s="30"/>
      <c r="J85" s="37" t="s">
        <v>6</v>
      </c>
      <c r="K85" s="128" t="s">
        <v>24</v>
      </c>
      <c r="L85" s="6"/>
      <c r="M85" s="6"/>
      <c r="N85" s="30"/>
    </row>
    <row r="86">
      <c r="B86" s="11"/>
      <c r="C86" s="129" t="s">
        <v>13</v>
      </c>
      <c r="D86" s="129" t="s">
        <v>14</v>
      </c>
      <c r="E86" s="129" t="s">
        <v>18</v>
      </c>
      <c r="F86" s="129" t="s">
        <v>16</v>
      </c>
      <c r="J86" s="11"/>
      <c r="K86" s="129" t="s">
        <v>13</v>
      </c>
      <c r="L86" s="129" t="s">
        <v>14</v>
      </c>
      <c r="M86" s="129" t="s">
        <v>18</v>
      </c>
      <c r="N86" s="129" t="s">
        <v>16</v>
      </c>
    </row>
    <row r="87">
      <c r="B87" s="13">
        <v>0.0</v>
      </c>
      <c r="C87" s="20">
        <f t="shared" ref="C87:C91" si="25">D36</f>
        <v>85.3918</v>
      </c>
      <c r="D87" s="20">
        <f t="shared" ref="D87:D91" si="26">K36</f>
        <v>14.9038</v>
      </c>
      <c r="E87" s="20">
        <f t="shared" ref="E87:E91" si="27">S36</f>
        <v>85.3918</v>
      </c>
      <c r="F87" s="130">
        <f t="shared" ref="F87:F91" si="28">AA36</f>
        <v>14.9038</v>
      </c>
      <c r="G87" s="131"/>
      <c r="J87" s="13">
        <v>0.0</v>
      </c>
      <c r="K87" s="34">
        <f t="shared" ref="K87:K91" si="29">E36</f>
        <v>50.1478</v>
      </c>
      <c r="L87" s="34">
        <f t="shared" ref="L87:L91" si="30">L36</f>
        <v>20.7778</v>
      </c>
      <c r="M87" s="20">
        <f t="shared" ref="M87:M91" si="31">T36</f>
        <v>50.1478</v>
      </c>
      <c r="N87" s="34">
        <f t="shared" ref="N87:N91" si="32">AB36</f>
        <v>25.477</v>
      </c>
    </row>
    <row r="88">
      <c r="B88" s="13">
        <v>25.0</v>
      </c>
      <c r="C88" s="20">
        <f t="shared" si="25"/>
        <v>618.751</v>
      </c>
      <c r="D88" s="20">
        <f t="shared" si="26"/>
        <v>589.381</v>
      </c>
      <c r="E88" s="20">
        <f t="shared" si="27"/>
        <v>659.869</v>
      </c>
      <c r="F88" s="130">
        <f t="shared" si="28"/>
        <v>659.869</v>
      </c>
      <c r="G88" s="131"/>
      <c r="J88" s="13">
        <v>25.0</v>
      </c>
      <c r="K88" s="34">
        <f t="shared" si="29"/>
        <v>1311.883</v>
      </c>
      <c r="L88" s="34">
        <f t="shared" si="30"/>
        <v>1182.655</v>
      </c>
      <c r="M88" s="20">
        <f t="shared" si="31"/>
        <v>1123.915</v>
      </c>
      <c r="N88" s="34">
        <f t="shared" si="32"/>
        <v>1370.623</v>
      </c>
    </row>
    <row r="89">
      <c r="B89" s="13">
        <v>50.0</v>
      </c>
      <c r="C89" s="20">
        <f t="shared" si="25"/>
        <v>2369.203</v>
      </c>
      <c r="D89" s="20">
        <f t="shared" si="26"/>
        <v>2275.219</v>
      </c>
      <c r="E89" s="20">
        <f t="shared" si="27"/>
        <v>2580.667</v>
      </c>
      <c r="F89" s="130">
        <f t="shared" si="28"/>
        <v>2580.667</v>
      </c>
      <c r="G89" s="131"/>
      <c r="J89" s="13">
        <v>50.0</v>
      </c>
      <c r="K89" s="34">
        <f t="shared" si="29"/>
        <v>2510.179</v>
      </c>
      <c r="L89" s="34">
        <f t="shared" si="30"/>
        <v>2322.211</v>
      </c>
      <c r="M89" s="20">
        <f t="shared" si="31"/>
        <v>2357.455</v>
      </c>
      <c r="N89" s="34">
        <f t="shared" si="32"/>
        <v>2580.667</v>
      </c>
    </row>
    <row r="90">
      <c r="B90" s="13">
        <v>75.0</v>
      </c>
      <c r="C90" s="20">
        <f t="shared" si="25"/>
        <v>1946.275</v>
      </c>
      <c r="D90" s="20">
        <f t="shared" si="26"/>
        <v>1852.291</v>
      </c>
      <c r="E90" s="20">
        <f t="shared" si="27"/>
        <v>1887.535</v>
      </c>
      <c r="F90" s="130">
        <f t="shared" si="28"/>
        <v>1887.535</v>
      </c>
      <c r="G90" s="131"/>
      <c r="J90" s="13">
        <v>75.0</v>
      </c>
      <c r="K90" s="34">
        <f t="shared" si="29"/>
        <v>4225.387</v>
      </c>
      <c r="L90" s="34">
        <f t="shared" si="30"/>
        <v>3872.947</v>
      </c>
      <c r="M90" s="20">
        <f t="shared" si="31"/>
        <v>3919.939</v>
      </c>
      <c r="N90" s="34">
        <f t="shared" si="32"/>
        <v>5212.219</v>
      </c>
    </row>
    <row r="91">
      <c r="B91" s="99">
        <v>100.0</v>
      </c>
      <c r="C91" s="20">
        <f t="shared" si="25"/>
        <v>2533.675</v>
      </c>
      <c r="D91" s="20">
        <f t="shared" si="26"/>
        <v>2639.407</v>
      </c>
      <c r="E91" s="20">
        <f t="shared" si="27"/>
        <v>2427.943</v>
      </c>
      <c r="F91" s="130">
        <f t="shared" si="28"/>
        <v>2427.943</v>
      </c>
      <c r="G91" s="131"/>
      <c r="J91" s="99">
        <v>100.0</v>
      </c>
      <c r="K91" s="34">
        <f t="shared" si="29"/>
        <v>5729.131</v>
      </c>
      <c r="L91" s="34">
        <f t="shared" si="30"/>
        <v>4906.771</v>
      </c>
      <c r="M91" s="20">
        <f t="shared" si="31"/>
        <v>5165.227</v>
      </c>
      <c r="N91" s="34">
        <f t="shared" si="32"/>
        <v>5329.699</v>
      </c>
    </row>
  </sheetData>
  <mergeCells count="62">
    <mergeCell ref="C53:F53"/>
    <mergeCell ref="J53:J54"/>
    <mergeCell ref="K53:N53"/>
    <mergeCell ref="C61:F61"/>
    <mergeCell ref="J61:J62"/>
    <mergeCell ref="K61:N61"/>
    <mergeCell ref="C69:F69"/>
    <mergeCell ref="J77:J78"/>
    <mergeCell ref="J85:J86"/>
    <mergeCell ref="J69:J70"/>
    <mergeCell ref="K69:N69"/>
    <mergeCell ref="B77:B78"/>
    <mergeCell ref="C77:F77"/>
    <mergeCell ref="K77:N77"/>
    <mergeCell ref="B85:B86"/>
    <mergeCell ref="C85:F85"/>
    <mergeCell ref="K85:N85"/>
    <mergeCell ref="I2:I3"/>
    <mergeCell ref="Q2:Q3"/>
    <mergeCell ref="Y2:Y3"/>
    <mergeCell ref="C3:E3"/>
    <mergeCell ref="J3:L3"/>
    <mergeCell ref="R3:T3"/>
    <mergeCell ref="Z3:AB3"/>
    <mergeCell ref="Y10:Y11"/>
    <mergeCell ref="Z11:AB11"/>
    <mergeCell ref="Y18:Y19"/>
    <mergeCell ref="Z19:AB19"/>
    <mergeCell ref="Y26:Y27"/>
    <mergeCell ref="Z27:AB27"/>
    <mergeCell ref="Y34:Y35"/>
    <mergeCell ref="Z35:AB35"/>
    <mergeCell ref="I10:I11"/>
    <mergeCell ref="I18:I19"/>
    <mergeCell ref="I26:I27"/>
    <mergeCell ref="J27:L27"/>
    <mergeCell ref="I34:I35"/>
    <mergeCell ref="J35:L35"/>
    <mergeCell ref="Q18:Q19"/>
    <mergeCell ref="R19:T19"/>
    <mergeCell ref="Q26:Q27"/>
    <mergeCell ref="R27:T27"/>
    <mergeCell ref="Q34:Q35"/>
    <mergeCell ref="R35:T35"/>
    <mergeCell ref="B2:B3"/>
    <mergeCell ref="B10:B11"/>
    <mergeCell ref="Q10:Q11"/>
    <mergeCell ref="C11:E11"/>
    <mergeCell ref="J11:L11"/>
    <mergeCell ref="R11:T11"/>
    <mergeCell ref="J19:L19"/>
    <mergeCell ref="B34:B35"/>
    <mergeCell ref="B53:B54"/>
    <mergeCell ref="B61:B62"/>
    <mergeCell ref="B69:B70"/>
    <mergeCell ref="B18:B19"/>
    <mergeCell ref="C19:E19"/>
    <mergeCell ref="B26:B27"/>
    <mergeCell ref="C27:E27"/>
    <mergeCell ref="C35:E35"/>
    <mergeCell ref="B42:C42"/>
    <mergeCell ref="B51:AF51"/>
  </mergeCells>
  <drawing r:id="rId1"/>
</worksheet>
</file>