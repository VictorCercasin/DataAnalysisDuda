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DataAnalysisDuda\data\etapa_2\Penicillium\"/>
    </mc:Choice>
  </mc:AlternateContent>
  <xr:revisionPtr revIDLastSave="0" documentId="13_ncr:1_{FE54694B-9C35-4698-8410-2E583912040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ia 0" sheetId="1" r:id="rId1"/>
    <sheet name="Dados prontos dia 0" sheetId="2" r:id="rId2"/>
    <sheet name="Dia 7" sheetId="3" r:id="rId3"/>
    <sheet name="Dados prontos dia 7" sheetId="4" r:id="rId4"/>
    <sheet name="Dia 14" sheetId="5" r:id="rId5"/>
    <sheet name="Dados prontos dia 14" sheetId="6" r:id="rId6"/>
    <sheet name="PROCESSAMENTO" sheetId="7" r:id="rId7"/>
    <sheet name="Gráficos" sheetId="8" r:id="rId8"/>
  </sheets>
  <calcPr calcId="191029"/>
  <extLst>
    <ext uri="GoogleSheetsCustomDataVersion2">
      <go:sheetsCustomData xmlns:go="http://customooxmlschemas.google.com/" r:id="rId12" roundtripDataChecksum="3i5H5G32hlBkvYIA0LYhNS9PnjoQmD8puOMiNldglEQ="/>
    </ext>
  </extLst>
</workbook>
</file>

<file path=xl/calcChain.xml><?xml version="1.0" encoding="utf-8"?>
<calcChain xmlns="http://schemas.openxmlformats.org/spreadsheetml/2006/main">
  <c r="N27" i="7" l="1"/>
  <c r="AB24" i="8" s="1"/>
  <c r="M27" i="7"/>
  <c r="AA24" i="8" s="1"/>
  <c r="L27" i="7"/>
  <c r="Z24" i="8" s="1"/>
  <c r="J27" i="7"/>
  <c r="AB16" i="8" s="1"/>
  <c r="N67" i="8" s="1"/>
  <c r="I27" i="7"/>
  <c r="AA16" i="8" s="1"/>
  <c r="F67" i="8" s="1"/>
  <c r="H27" i="7"/>
  <c r="Z16" i="8" s="1"/>
  <c r="F27" i="7"/>
  <c r="AB8" i="8" s="1"/>
  <c r="N59" i="8" s="1"/>
  <c r="E27" i="7"/>
  <c r="AA8" i="8" s="1"/>
  <c r="F59" i="8" s="1"/>
  <c r="D27" i="7"/>
  <c r="Z8" i="8" s="1"/>
  <c r="N26" i="7"/>
  <c r="AB23" i="8" s="1"/>
  <c r="M26" i="7"/>
  <c r="AA23" i="8" s="1"/>
  <c r="L26" i="7"/>
  <c r="Z23" i="8" s="1"/>
  <c r="J26" i="7"/>
  <c r="AB15" i="8" s="1"/>
  <c r="N66" i="8" s="1"/>
  <c r="I26" i="7"/>
  <c r="AA15" i="8" s="1"/>
  <c r="F66" i="8" s="1"/>
  <c r="H26" i="7"/>
  <c r="Z15" i="8" s="1"/>
  <c r="F26" i="7"/>
  <c r="AB7" i="8" s="1"/>
  <c r="N58" i="8" s="1"/>
  <c r="E26" i="7"/>
  <c r="AA7" i="8" s="1"/>
  <c r="F58" i="8" s="1"/>
  <c r="D26" i="7"/>
  <c r="Z7" i="8" s="1"/>
  <c r="N25" i="7"/>
  <c r="AB22" i="8" s="1"/>
  <c r="M25" i="7"/>
  <c r="AA22" i="8" s="1"/>
  <c r="L25" i="7"/>
  <c r="Z22" i="8" s="1"/>
  <c r="J25" i="7"/>
  <c r="AB14" i="8" s="1"/>
  <c r="N65" i="8" s="1"/>
  <c r="I25" i="7"/>
  <c r="AA14" i="8" s="1"/>
  <c r="F65" i="8" s="1"/>
  <c r="H25" i="7"/>
  <c r="Z14" i="8" s="1"/>
  <c r="F25" i="7"/>
  <c r="AB6" i="8" s="1"/>
  <c r="N57" i="8" s="1"/>
  <c r="E25" i="7"/>
  <c r="AA6" i="8" s="1"/>
  <c r="F57" i="8" s="1"/>
  <c r="D25" i="7"/>
  <c r="Z6" i="8" s="1"/>
  <c r="N24" i="7"/>
  <c r="AB21" i="8" s="1"/>
  <c r="M24" i="7"/>
  <c r="AA21" i="8" s="1"/>
  <c r="L24" i="7"/>
  <c r="Z21" i="8" s="1"/>
  <c r="J24" i="7"/>
  <c r="AB13" i="8" s="1"/>
  <c r="N64" i="8" s="1"/>
  <c r="I24" i="7"/>
  <c r="AA13" i="8" s="1"/>
  <c r="F64" i="8" s="1"/>
  <c r="H24" i="7"/>
  <c r="Z13" i="8" s="1"/>
  <c r="F24" i="7"/>
  <c r="AB5" i="8" s="1"/>
  <c r="N56" i="8" s="1"/>
  <c r="E24" i="7"/>
  <c r="AA5" i="8" s="1"/>
  <c r="F56" i="8" s="1"/>
  <c r="D24" i="7"/>
  <c r="Z5" i="8" s="1"/>
  <c r="N23" i="7"/>
  <c r="AB20" i="8" s="1"/>
  <c r="M23" i="7"/>
  <c r="AA20" i="8" s="1"/>
  <c r="L23" i="7"/>
  <c r="Z20" i="8" s="1"/>
  <c r="J23" i="7"/>
  <c r="AB12" i="8" s="1"/>
  <c r="N63" i="8" s="1"/>
  <c r="I23" i="7"/>
  <c r="AA12" i="8" s="1"/>
  <c r="F63" i="8" s="1"/>
  <c r="H23" i="7"/>
  <c r="Z12" i="8" s="1"/>
  <c r="F23" i="7"/>
  <c r="AB4" i="8" s="1"/>
  <c r="N55" i="8" s="1"/>
  <c r="E23" i="7"/>
  <c r="AA4" i="8" s="1"/>
  <c r="F55" i="8" s="1"/>
  <c r="D23" i="7"/>
  <c r="Z4" i="8" s="1"/>
  <c r="T22" i="7"/>
  <c r="P22" i="7"/>
  <c r="R21" i="7"/>
  <c r="T32" i="8" s="1"/>
  <c r="M83" i="8" s="1"/>
  <c r="N21" i="7"/>
  <c r="T24" i="8" s="1"/>
  <c r="M21" i="7"/>
  <c r="S24" i="8" s="1"/>
  <c r="L21" i="7"/>
  <c r="R24" i="8" s="1"/>
  <c r="J21" i="7"/>
  <c r="T16" i="8" s="1"/>
  <c r="M67" i="8" s="1"/>
  <c r="I21" i="7"/>
  <c r="S16" i="8" s="1"/>
  <c r="E67" i="8" s="1"/>
  <c r="H21" i="7"/>
  <c r="R16" i="8" s="1"/>
  <c r="F21" i="7"/>
  <c r="T8" i="8" s="1"/>
  <c r="M59" i="8" s="1"/>
  <c r="E21" i="7"/>
  <c r="S8" i="8" s="1"/>
  <c r="E59" i="8" s="1"/>
  <c r="D21" i="7"/>
  <c r="R8" i="8" s="1"/>
  <c r="N20" i="7"/>
  <c r="T23" i="8" s="1"/>
  <c r="M20" i="7"/>
  <c r="S23" i="8" s="1"/>
  <c r="L20" i="7"/>
  <c r="R23" i="8" s="1"/>
  <c r="J20" i="7"/>
  <c r="T15" i="8" s="1"/>
  <c r="M66" i="8" s="1"/>
  <c r="I20" i="7"/>
  <c r="S15" i="8" s="1"/>
  <c r="E66" i="8" s="1"/>
  <c r="H20" i="7"/>
  <c r="R15" i="8" s="1"/>
  <c r="F20" i="7"/>
  <c r="T7" i="8" s="1"/>
  <c r="M58" i="8" s="1"/>
  <c r="E20" i="7"/>
  <c r="S7" i="8" s="1"/>
  <c r="E58" i="8" s="1"/>
  <c r="D20" i="7"/>
  <c r="R7" i="8" s="1"/>
  <c r="N19" i="7"/>
  <c r="T22" i="8" s="1"/>
  <c r="M19" i="7"/>
  <c r="S22" i="8" s="1"/>
  <c r="L19" i="7"/>
  <c r="R22" i="8" s="1"/>
  <c r="J19" i="7"/>
  <c r="T14" i="8" s="1"/>
  <c r="M65" i="8" s="1"/>
  <c r="I19" i="7"/>
  <c r="S14" i="8" s="1"/>
  <c r="E65" i="8" s="1"/>
  <c r="H19" i="7"/>
  <c r="R14" i="8" s="1"/>
  <c r="F19" i="7"/>
  <c r="T6" i="8" s="1"/>
  <c r="M57" i="8" s="1"/>
  <c r="E19" i="7"/>
  <c r="S6" i="8" s="1"/>
  <c r="E57" i="8" s="1"/>
  <c r="D19" i="7"/>
  <c r="R6" i="8" s="1"/>
  <c r="N18" i="7"/>
  <c r="T21" i="8" s="1"/>
  <c r="M18" i="7"/>
  <c r="S21" i="8" s="1"/>
  <c r="L18" i="7"/>
  <c r="R21" i="8" s="1"/>
  <c r="J18" i="7"/>
  <c r="T13" i="8" s="1"/>
  <c r="M64" i="8" s="1"/>
  <c r="I18" i="7"/>
  <c r="S13" i="8" s="1"/>
  <c r="E64" i="8" s="1"/>
  <c r="H18" i="7"/>
  <c r="R13" i="8" s="1"/>
  <c r="F18" i="7"/>
  <c r="T5" i="8" s="1"/>
  <c r="M56" i="8" s="1"/>
  <c r="E18" i="7"/>
  <c r="S5" i="8" s="1"/>
  <c r="E56" i="8" s="1"/>
  <c r="D18" i="7"/>
  <c r="R5" i="8" s="1"/>
  <c r="R17" i="7"/>
  <c r="T28" i="8" s="1"/>
  <c r="M79" i="8" s="1"/>
  <c r="N17" i="7"/>
  <c r="T20" i="8" s="1"/>
  <c r="M17" i="7"/>
  <c r="S20" i="8" s="1"/>
  <c r="L17" i="7"/>
  <c r="R20" i="8" s="1"/>
  <c r="J17" i="7"/>
  <c r="T12" i="8" s="1"/>
  <c r="M63" i="8" s="1"/>
  <c r="I17" i="7"/>
  <c r="S12" i="8" s="1"/>
  <c r="E63" i="8" s="1"/>
  <c r="H17" i="7"/>
  <c r="R12" i="8" s="1"/>
  <c r="F17" i="7"/>
  <c r="T4" i="8" s="1"/>
  <c r="M55" i="8" s="1"/>
  <c r="E17" i="7"/>
  <c r="S4" i="8" s="1"/>
  <c r="E55" i="8" s="1"/>
  <c r="D17" i="7"/>
  <c r="R4" i="8" s="1"/>
  <c r="T16" i="7"/>
  <c r="P16" i="7"/>
  <c r="L16" i="7"/>
  <c r="N15" i="7"/>
  <c r="L24" i="8" s="1"/>
  <c r="M15" i="7"/>
  <c r="K24" i="8" s="1"/>
  <c r="L15" i="7"/>
  <c r="J24" i="8" s="1"/>
  <c r="J15" i="7"/>
  <c r="L16" i="8" s="1"/>
  <c r="L67" i="8" s="1"/>
  <c r="I15" i="7"/>
  <c r="K16" i="8" s="1"/>
  <c r="D67" i="8" s="1"/>
  <c r="H15" i="7"/>
  <c r="J16" i="8" s="1"/>
  <c r="F15" i="7"/>
  <c r="L8" i="8" s="1"/>
  <c r="L59" i="8" s="1"/>
  <c r="E15" i="7"/>
  <c r="K8" i="8" s="1"/>
  <c r="D59" i="8" s="1"/>
  <c r="D15" i="7"/>
  <c r="J8" i="8" s="1"/>
  <c r="P14" i="7"/>
  <c r="J31" i="8" s="1"/>
  <c r="N14" i="7"/>
  <c r="L23" i="8" s="1"/>
  <c r="M14" i="7"/>
  <c r="K23" i="8" s="1"/>
  <c r="L14" i="7"/>
  <c r="J23" i="8" s="1"/>
  <c r="J14" i="7"/>
  <c r="L15" i="8" s="1"/>
  <c r="L66" i="8" s="1"/>
  <c r="I14" i="7"/>
  <c r="K15" i="8" s="1"/>
  <c r="D66" i="8" s="1"/>
  <c r="H14" i="7"/>
  <c r="J15" i="8" s="1"/>
  <c r="F14" i="7"/>
  <c r="L7" i="8" s="1"/>
  <c r="L58" i="8" s="1"/>
  <c r="E14" i="7"/>
  <c r="K7" i="8" s="1"/>
  <c r="D58" i="8" s="1"/>
  <c r="D14" i="7"/>
  <c r="J7" i="8" s="1"/>
  <c r="Q13" i="7"/>
  <c r="K30" i="8" s="1"/>
  <c r="D81" i="8" s="1"/>
  <c r="N13" i="7"/>
  <c r="L22" i="8" s="1"/>
  <c r="M13" i="7"/>
  <c r="K22" i="8" s="1"/>
  <c r="L13" i="7"/>
  <c r="J22" i="8" s="1"/>
  <c r="J13" i="7"/>
  <c r="L14" i="8" s="1"/>
  <c r="L65" i="8" s="1"/>
  <c r="I13" i="7"/>
  <c r="K14" i="8" s="1"/>
  <c r="D65" i="8" s="1"/>
  <c r="H13" i="7"/>
  <c r="J14" i="8" s="1"/>
  <c r="F13" i="7"/>
  <c r="L6" i="8" s="1"/>
  <c r="L57" i="8" s="1"/>
  <c r="E13" i="7"/>
  <c r="K6" i="8" s="1"/>
  <c r="D57" i="8" s="1"/>
  <c r="D13" i="7"/>
  <c r="J6" i="8" s="1"/>
  <c r="R12" i="7"/>
  <c r="L29" i="8" s="1"/>
  <c r="L80" i="8" s="1"/>
  <c r="N12" i="7"/>
  <c r="L21" i="8" s="1"/>
  <c r="M12" i="7"/>
  <c r="K21" i="8" s="1"/>
  <c r="L12" i="7"/>
  <c r="J21" i="8" s="1"/>
  <c r="J12" i="7"/>
  <c r="L13" i="8" s="1"/>
  <c r="L64" i="8" s="1"/>
  <c r="I12" i="7"/>
  <c r="K13" i="8" s="1"/>
  <c r="D64" i="8" s="1"/>
  <c r="H12" i="7"/>
  <c r="J13" i="8" s="1"/>
  <c r="F12" i="7"/>
  <c r="L5" i="8" s="1"/>
  <c r="L56" i="8" s="1"/>
  <c r="E12" i="7"/>
  <c r="K5" i="8" s="1"/>
  <c r="D56" i="8" s="1"/>
  <c r="D12" i="7"/>
  <c r="J5" i="8" s="1"/>
  <c r="N11" i="7"/>
  <c r="L20" i="8" s="1"/>
  <c r="M11" i="7"/>
  <c r="K20" i="8" s="1"/>
  <c r="L11" i="7"/>
  <c r="J20" i="8" s="1"/>
  <c r="J11" i="7"/>
  <c r="L12" i="8" s="1"/>
  <c r="L63" i="8" s="1"/>
  <c r="I11" i="7"/>
  <c r="K12" i="8" s="1"/>
  <c r="D63" i="8" s="1"/>
  <c r="H11" i="7"/>
  <c r="J12" i="8" s="1"/>
  <c r="F11" i="7"/>
  <c r="L4" i="8" s="1"/>
  <c r="L55" i="8" s="1"/>
  <c r="E11" i="7"/>
  <c r="K4" i="8" s="1"/>
  <c r="D55" i="8" s="1"/>
  <c r="D11" i="7"/>
  <c r="J4" i="8" s="1"/>
  <c r="T10" i="7"/>
  <c r="P10" i="7"/>
  <c r="R9" i="7"/>
  <c r="E32" i="8" s="1"/>
  <c r="K83" i="8" s="1"/>
  <c r="P9" i="7"/>
  <c r="C32" i="8" s="1"/>
  <c r="N9" i="7"/>
  <c r="E24" i="8" s="1"/>
  <c r="M9" i="7"/>
  <c r="D24" i="8" s="1"/>
  <c r="L9" i="7"/>
  <c r="C24" i="8" s="1"/>
  <c r="J9" i="7"/>
  <c r="E16" i="8" s="1"/>
  <c r="K67" i="8" s="1"/>
  <c r="I9" i="7"/>
  <c r="D16" i="8" s="1"/>
  <c r="C67" i="8" s="1"/>
  <c r="H9" i="7"/>
  <c r="C16" i="8" s="1"/>
  <c r="F9" i="7"/>
  <c r="E8" i="8" s="1"/>
  <c r="K59" i="8" s="1"/>
  <c r="E9" i="7"/>
  <c r="D8" i="8" s="1"/>
  <c r="C59" i="8" s="1"/>
  <c r="D9" i="7"/>
  <c r="C8" i="8" s="1"/>
  <c r="Q8" i="7"/>
  <c r="D31" i="8" s="1"/>
  <c r="C82" i="8" s="1"/>
  <c r="P8" i="7"/>
  <c r="C31" i="8" s="1"/>
  <c r="N8" i="7"/>
  <c r="E23" i="8" s="1"/>
  <c r="M8" i="7"/>
  <c r="D23" i="8" s="1"/>
  <c r="L8" i="7"/>
  <c r="C23" i="8" s="1"/>
  <c r="J8" i="7"/>
  <c r="E15" i="8" s="1"/>
  <c r="K66" i="8" s="1"/>
  <c r="I8" i="7"/>
  <c r="D15" i="8" s="1"/>
  <c r="C66" i="8" s="1"/>
  <c r="H8" i="7"/>
  <c r="C15" i="8" s="1"/>
  <c r="F8" i="7"/>
  <c r="E7" i="8" s="1"/>
  <c r="K58" i="8" s="1"/>
  <c r="E8" i="7"/>
  <c r="D7" i="8" s="1"/>
  <c r="C58" i="8" s="1"/>
  <c r="D8" i="7"/>
  <c r="C7" i="8" s="1"/>
  <c r="R7" i="7"/>
  <c r="E30" i="8" s="1"/>
  <c r="K81" i="8" s="1"/>
  <c r="Q7" i="7"/>
  <c r="D30" i="8" s="1"/>
  <c r="C81" i="8" s="1"/>
  <c r="P7" i="7"/>
  <c r="C30" i="8" s="1"/>
  <c r="N7" i="7"/>
  <c r="E22" i="8" s="1"/>
  <c r="M7" i="7"/>
  <c r="D22" i="8" s="1"/>
  <c r="L7" i="7"/>
  <c r="C22" i="8" s="1"/>
  <c r="J7" i="7"/>
  <c r="E14" i="8" s="1"/>
  <c r="K65" i="8" s="1"/>
  <c r="I7" i="7"/>
  <c r="D14" i="8" s="1"/>
  <c r="C65" i="8" s="1"/>
  <c r="H7" i="7"/>
  <c r="C14" i="8" s="1"/>
  <c r="F7" i="7"/>
  <c r="E6" i="8" s="1"/>
  <c r="K57" i="8" s="1"/>
  <c r="E7" i="7"/>
  <c r="D6" i="8" s="1"/>
  <c r="C57" i="8" s="1"/>
  <c r="D7" i="7"/>
  <c r="C6" i="8" s="1"/>
  <c r="R6" i="7"/>
  <c r="E29" i="8" s="1"/>
  <c r="K80" i="8" s="1"/>
  <c r="Q6" i="7"/>
  <c r="D29" i="8" s="1"/>
  <c r="C80" i="8" s="1"/>
  <c r="N6" i="7"/>
  <c r="E21" i="8" s="1"/>
  <c r="M6" i="7"/>
  <c r="D21" i="8" s="1"/>
  <c r="L6" i="7"/>
  <c r="C21" i="8" s="1"/>
  <c r="J6" i="7"/>
  <c r="E13" i="8" s="1"/>
  <c r="K64" i="8" s="1"/>
  <c r="I6" i="7"/>
  <c r="D13" i="8" s="1"/>
  <c r="C64" i="8" s="1"/>
  <c r="H6" i="7"/>
  <c r="C13" i="8" s="1"/>
  <c r="F6" i="7"/>
  <c r="E5" i="8" s="1"/>
  <c r="K56" i="8" s="1"/>
  <c r="E6" i="7"/>
  <c r="D5" i="8" s="1"/>
  <c r="C56" i="8" s="1"/>
  <c r="D6" i="7"/>
  <c r="C5" i="8" s="1"/>
  <c r="R5" i="7"/>
  <c r="E28" i="8" s="1"/>
  <c r="K79" i="8" s="1"/>
  <c r="P5" i="7"/>
  <c r="C28" i="8" s="1"/>
  <c r="N5" i="7"/>
  <c r="E20" i="8" s="1"/>
  <c r="M5" i="7"/>
  <c r="D20" i="8" s="1"/>
  <c r="L5" i="7"/>
  <c r="C20" i="8" s="1"/>
  <c r="J5" i="7"/>
  <c r="E12" i="8" s="1"/>
  <c r="K63" i="8" s="1"/>
  <c r="I5" i="7"/>
  <c r="D12" i="8" s="1"/>
  <c r="C63" i="8" s="1"/>
  <c r="H5" i="7"/>
  <c r="C12" i="8" s="1"/>
  <c r="F5" i="7"/>
  <c r="E4" i="8" s="1"/>
  <c r="K55" i="8" s="1"/>
  <c r="E5" i="7"/>
  <c r="D4" i="8" s="1"/>
  <c r="C55" i="8" s="1"/>
  <c r="D5" i="7"/>
  <c r="C4" i="8" s="1"/>
  <c r="F26" i="6"/>
  <c r="E26" i="6"/>
  <c r="D26" i="6"/>
  <c r="G25" i="6"/>
  <c r="F25" i="6"/>
  <c r="E25" i="6"/>
  <c r="D25" i="6"/>
  <c r="F24" i="6"/>
  <c r="E24" i="6"/>
  <c r="D24" i="6"/>
  <c r="F23" i="6"/>
  <c r="E23" i="6"/>
  <c r="D23" i="6"/>
  <c r="F22" i="6"/>
  <c r="E22" i="6"/>
  <c r="D22" i="6"/>
  <c r="F20" i="6"/>
  <c r="E20" i="6"/>
  <c r="D20" i="6"/>
  <c r="F19" i="6"/>
  <c r="E19" i="6"/>
  <c r="D19" i="6"/>
  <c r="G18" i="6"/>
  <c r="F18" i="6"/>
  <c r="E18" i="6"/>
  <c r="D18" i="6"/>
  <c r="F17" i="6"/>
  <c r="E17" i="6"/>
  <c r="D17" i="6"/>
  <c r="F16" i="6"/>
  <c r="E16" i="6"/>
  <c r="D16" i="6"/>
  <c r="F14" i="6"/>
  <c r="E14" i="6"/>
  <c r="D14" i="6"/>
  <c r="G13" i="6"/>
  <c r="F13" i="6"/>
  <c r="E13" i="6"/>
  <c r="D13" i="6"/>
  <c r="F12" i="6"/>
  <c r="E12" i="6"/>
  <c r="D12" i="6"/>
  <c r="G11" i="6"/>
  <c r="F11" i="6"/>
  <c r="E11" i="6"/>
  <c r="D11" i="6"/>
  <c r="G10" i="6"/>
  <c r="F10" i="6"/>
  <c r="E10" i="6"/>
  <c r="D10" i="6"/>
  <c r="F8" i="6"/>
  <c r="E8" i="6"/>
  <c r="D8" i="6"/>
  <c r="F7" i="6"/>
  <c r="E7" i="6"/>
  <c r="D7" i="6"/>
  <c r="G6" i="6"/>
  <c r="F6" i="6"/>
  <c r="E6" i="6"/>
  <c r="D6" i="6"/>
  <c r="F5" i="6"/>
  <c r="E5" i="6"/>
  <c r="D5" i="6"/>
  <c r="F4" i="6"/>
  <c r="E4" i="6"/>
  <c r="D4" i="6"/>
  <c r="K26" i="5"/>
  <c r="L26" i="5" s="1"/>
  <c r="M26" i="5" s="1"/>
  <c r="H26" i="5"/>
  <c r="R27" i="7" s="1"/>
  <c r="AB32" i="8" s="1"/>
  <c r="N83" i="8" s="1"/>
  <c r="K25" i="5"/>
  <c r="L25" i="5" s="1"/>
  <c r="M25" i="5" s="1"/>
  <c r="H25" i="5"/>
  <c r="R26" i="7" s="1"/>
  <c r="AB31" i="8" s="1"/>
  <c r="N82" i="8" s="1"/>
  <c r="K24" i="5"/>
  <c r="L24" i="5" s="1"/>
  <c r="M24" i="5" s="1"/>
  <c r="H24" i="5"/>
  <c r="G24" i="6" s="1"/>
  <c r="K23" i="5"/>
  <c r="L23" i="5" s="1"/>
  <c r="M23" i="5" s="1"/>
  <c r="H23" i="5"/>
  <c r="R24" i="7" s="1"/>
  <c r="AB29" i="8" s="1"/>
  <c r="N80" i="8" s="1"/>
  <c r="K22" i="5"/>
  <c r="L22" i="5" s="1"/>
  <c r="M22" i="5" s="1"/>
  <c r="H22" i="5"/>
  <c r="R23" i="7" s="1"/>
  <c r="AB28" i="8" s="1"/>
  <c r="N79" i="8" s="1"/>
  <c r="K20" i="5"/>
  <c r="L20" i="5" s="1"/>
  <c r="M20" i="5" s="1"/>
  <c r="H20" i="5"/>
  <c r="G20" i="6" s="1"/>
  <c r="K19" i="5"/>
  <c r="L19" i="5" s="1"/>
  <c r="M19" i="5" s="1"/>
  <c r="H19" i="5"/>
  <c r="R20" i="7" s="1"/>
  <c r="T31" i="8" s="1"/>
  <c r="M82" i="8" s="1"/>
  <c r="K18" i="5"/>
  <c r="L18" i="5" s="1"/>
  <c r="M18" i="5" s="1"/>
  <c r="H18" i="5"/>
  <c r="R19" i="7" s="1"/>
  <c r="T30" i="8" s="1"/>
  <c r="M81" i="8" s="1"/>
  <c r="K17" i="5"/>
  <c r="L17" i="5" s="1"/>
  <c r="M17" i="5" s="1"/>
  <c r="H17" i="5"/>
  <c r="G17" i="6" s="1"/>
  <c r="K16" i="5"/>
  <c r="L16" i="5" s="1"/>
  <c r="M16" i="5" s="1"/>
  <c r="H16" i="5"/>
  <c r="G16" i="6" s="1"/>
  <c r="K14" i="5"/>
  <c r="L14" i="5" s="1"/>
  <c r="M14" i="5" s="1"/>
  <c r="H14" i="5"/>
  <c r="R15" i="7" s="1"/>
  <c r="L32" i="8" s="1"/>
  <c r="L83" i="8" s="1"/>
  <c r="K13" i="5"/>
  <c r="L13" i="5" s="1"/>
  <c r="M13" i="5" s="1"/>
  <c r="H13" i="5"/>
  <c r="R14" i="7" s="1"/>
  <c r="L31" i="8" s="1"/>
  <c r="L82" i="8" s="1"/>
  <c r="K12" i="5"/>
  <c r="L12" i="5" s="1"/>
  <c r="M12" i="5" s="1"/>
  <c r="H12" i="5"/>
  <c r="G12" i="6" s="1"/>
  <c r="K11" i="5"/>
  <c r="L11" i="5" s="1"/>
  <c r="M11" i="5" s="1"/>
  <c r="H11" i="5"/>
  <c r="K10" i="5"/>
  <c r="L10" i="5" s="1"/>
  <c r="M10" i="5" s="1"/>
  <c r="H10" i="5"/>
  <c r="R11" i="7" s="1"/>
  <c r="L28" i="8" s="1"/>
  <c r="L79" i="8" s="1"/>
  <c r="K8" i="5"/>
  <c r="L8" i="5" s="1"/>
  <c r="M8" i="5" s="1"/>
  <c r="H8" i="5"/>
  <c r="G8" i="6" s="1"/>
  <c r="K7" i="5"/>
  <c r="L7" i="5" s="1"/>
  <c r="M7" i="5" s="1"/>
  <c r="H7" i="5"/>
  <c r="G7" i="6" s="1"/>
  <c r="K6" i="5"/>
  <c r="L6" i="5" s="1"/>
  <c r="M6" i="5" s="1"/>
  <c r="H6" i="5"/>
  <c r="K5" i="5"/>
  <c r="L5" i="5" s="1"/>
  <c r="M5" i="5" s="1"/>
  <c r="H5" i="5"/>
  <c r="G5" i="6" s="1"/>
  <c r="K4" i="5"/>
  <c r="L4" i="5" s="1"/>
  <c r="M4" i="5" s="1"/>
  <c r="H4" i="5"/>
  <c r="G4" i="6" s="1"/>
  <c r="G26" i="4"/>
  <c r="F26" i="4"/>
  <c r="E26" i="4"/>
  <c r="D26" i="4"/>
  <c r="F25" i="4"/>
  <c r="E25" i="4"/>
  <c r="D25" i="4"/>
  <c r="G24" i="4"/>
  <c r="F24" i="4"/>
  <c r="E24" i="4"/>
  <c r="D24" i="4"/>
  <c r="F23" i="4"/>
  <c r="E23" i="4"/>
  <c r="D23" i="4"/>
  <c r="F22" i="4"/>
  <c r="E22" i="4"/>
  <c r="D22" i="4"/>
  <c r="F20" i="4"/>
  <c r="E20" i="4"/>
  <c r="D20" i="4"/>
  <c r="F19" i="4"/>
  <c r="E19" i="4"/>
  <c r="D19" i="4"/>
  <c r="G18" i="4"/>
  <c r="F18" i="4"/>
  <c r="E18" i="4"/>
  <c r="D18" i="4"/>
  <c r="F17" i="4"/>
  <c r="E17" i="4"/>
  <c r="D17" i="4"/>
  <c r="F16" i="4"/>
  <c r="E16" i="4"/>
  <c r="D16" i="4"/>
  <c r="G14" i="4"/>
  <c r="F14" i="4"/>
  <c r="E14" i="4"/>
  <c r="D14" i="4"/>
  <c r="F13" i="4"/>
  <c r="E13" i="4"/>
  <c r="D13" i="4"/>
  <c r="G12" i="4"/>
  <c r="F12" i="4"/>
  <c r="E12" i="4"/>
  <c r="D12" i="4"/>
  <c r="G11" i="4"/>
  <c r="F11" i="4"/>
  <c r="E11" i="4"/>
  <c r="D11" i="4"/>
  <c r="F10" i="4"/>
  <c r="E10" i="4"/>
  <c r="D10" i="4"/>
  <c r="F8" i="4"/>
  <c r="E8" i="4"/>
  <c r="D8" i="4"/>
  <c r="G7" i="4"/>
  <c r="F7" i="4"/>
  <c r="E7" i="4"/>
  <c r="D7" i="4"/>
  <c r="F6" i="4"/>
  <c r="E6" i="4"/>
  <c r="D6" i="4"/>
  <c r="G5" i="4"/>
  <c r="F5" i="4"/>
  <c r="E5" i="4"/>
  <c r="D5" i="4"/>
  <c r="F4" i="4"/>
  <c r="E4" i="4"/>
  <c r="D4" i="4"/>
  <c r="K26" i="3"/>
  <c r="L26" i="3" s="1"/>
  <c r="M26" i="3" s="1"/>
  <c r="H26" i="3"/>
  <c r="Q27" i="7" s="1"/>
  <c r="AA32" i="8" s="1"/>
  <c r="F83" i="8" s="1"/>
  <c r="K25" i="3"/>
  <c r="L25" i="3" s="1"/>
  <c r="M25" i="3" s="1"/>
  <c r="H25" i="3"/>
  <c r="G25" i="4" s="1"/>
  <c r="K24" i="3"/>
  <c r="L24" i="3" s="1"/>
  <c r="M24" i="3" s="1"/>
  <c r="H24" i="3"/>
  <c r="Q25" i="7" s="1"/>
  <c r="AA30" i="8" s="1"/>
  <c r="F81" i="8" s="1"/>
  <c r="K23" i="3"/>
  <c r="L23" i="3" s="1"/>
  <c r="M23" i="3" s="1"/>
  <c r="H23" i="3"/>
  <c r="Q24" i="7" s="1"/>
  <c r="AA29" i="8" s="1"/>
  <c r="F80" i="8" s="1"/>
  <c r="K22" i="3"/>
  <c r="L22" i="3" s="1"/>
  <c r="M22" i="3" s="1"/>
  <c r="H22" i="3"/>
  <c r="G22" i="4" s="1"/>
  <c r="K20" i="3"/>
  <c r="L20" i="3" s="1"/>
  <c r="M20" i="3" s="1"/>
  <c r="H20" i="3"/>
  <c r="G20" i="4" s="1"/>
  <c r="K19" i="3"/>
  <c r="L19" i="3" s="1"/>
  <c r="M19" i="3" s="1"/>
  <c r="H19" i="3"/>
  <c r="Q20" i="7" s="1"/>
  <c r="S31" i="8" s="1"/>
  <c r="E82" i="8" s="1"/>
  <c r="K18" i="3"/>
  <c r="L18" i="3" s="1"/>
  <c r="M18" i="3" s="1"/>
  <c r="H18" i="3"/>
  <c r="Q19" i="7" s="1"/>
  <c r="S30" i="8" s="1"/>
  <c r="E81" i="8" s="1"/>
  <c r="K17" i="3"/>
  <c r="L17" i="3" s="1"/>
  <c r="M17" i="3" s="1"/>
  <c r="H17" i="3"/>
  <c r="G17" i="4" s="1"/>
  <c r="K16" i="3"/>
  <c r="L16" i="3" s="1"/>
  <c r="M16" i="3" s="1"/>
  <c r="H16" i="3"/>
  <c r="Q17" i="7" s="1"/>
  <c r="S28" i="8" s="1"/>
  <c r="E79" i="8" s="1"/>
  <c r="K14" i="3"/>
  <c r="L14" i="3" s="1"/>
  <c r="M14" i="3" s="1"/>
  <c r="H14" i="3"/>
  <c r="Q15" i="7" s="1"/>
  <c r="K32" i="8" s="1"/>
  <c r="D83" i="8" s="1"/>
  <c r="K13" i="3"/>
  <c r="L13" i="3" s="1"/>
  <c r="M13" i="3" s="1"/>
  <c r="H13" i="3"/>
  <c r="G13" i="4" s="1"/>
  <c r="K12" i="3"/>
  <c r="L12" i="3" s="1"/>
  <c r="M12" i="3" s="1"/>
  <c r="H12" i="3"/>
  <c r="K11" i="3"/>
  <c r="L11" i="3" s="1"/>
  <c r="M11" i="3" s="1"/>
  <c r="H11" i="3"/>
  <c r="Q12" i="7" s="1"/>
  <c r="K29" i="8" s="1"/>
  <c r="D80" i="8" s="1"/>
  <c r="K10" i="3"/>
  <c r="L10" i="3" s="1"/>
  <c r="M10" i="3" s="1"/>
  <c r="H10" i="3"/>
  <c r="G10" i="4" s="1"/>
  <c r="K8" i="3"/>
  <c r="L8" i="3" s="1"/>
  <c r="M8" i="3" s="1"/>
  <c r="H8" i="3"/>
  <c r="Q9" i="7" s="1"/>
  <c r="D32" i="8" s="1"/>
  <c r="C83" i="8" s="1"/>
  <c r="K7" i="3"/>
  <c r="L7" i="3" s="1"/>
  <c r="M7" i="3" s="1"/>
  <c r="H7" i="3"/>
  <c r="K6" i="3"/>
  <c r="L6" i="3" s="1"/>
  <c r="M6" i="3" s="1"/>
  <c r="H6" i="3"/>
  <c r="G6" i="4" s="1"/>
  <c r="K5" i="3"/>
  <c r="L5" i="3" s="1"/>
  <c r="M5" i="3" s="1"/>
  <c r="H5" i="3"/>
  <c r="K4" i="3"/>
  <c r="L4" i="3" s="1"/>
  <c r="M4" i="3" s="1"/>
  <c r="H4" i="3"/>
  <c r="Q5" i="7" s="1"/>
  <c r="D28" i="8" s="1"/>
  <c r="C79" i="8" s="1"/>
  <c r="H26" i="2"/>
  <c r="F26" i="2"/>
  <c r="E26" i="2"/>
  <c r="D26" i="2"/>
  <c r="H25" i="2"/>
  <c r="F25" i="2"/>
  <c r="E25" i="2"/>
  <c r="D25" i="2"/>
  <c r="H24" i="2"/>
  <c r="F24" i="2"/>
  <c r="E24" i="2"/>
  <c r="D24" i="2"/>
  <c r="H23" i="2"/>
  <c r="G23" i="2"/>
  <c r="F23" i="2"/>
  <c r="E23" i="2"/>
  <c r="D23" i="2"/>
  <c r="F22" i="2"/>
  <c r="E22" i="2"/>
  <c r="D22" i="2"/>
  <c r="F20" i="2"/>
  <c r="E20" i="2"/>
  <c r="D20" i="2"/>
  <c r="H19" i="2"/>
  <c r="F19" i="2"/>
  <c r="E19" i="2"/>
  <c r="D19" i="2"/>
  <c r="F18" i="2"/>
  <c r="E18" i="2"/>
  <c r="D18" i="2"/>
  <c r="F17" i="2"/>
  <c r="E17" i="2"/>
  <c r="D17" i="2"/>
  <c r="G16" i="2"/>
  <c r="F16" i="2"/>
  <c r="E16" i="2"/>
  <c r="D16" i="2"/>
  <c r="F14" i="2"/>
  <c r="E14" i="2"/>
  <c r="D14" i="2"/>
  <c r="F13" i="2"/>
  <c r="E13" i="2"/>
  <c r="D13" i="2"/>
  <c r="G12" i="2"/>
  <c r="F12" i="2"/>
  <c r="E12" i="2"/>
  <c r="D12" i="2"/>
  <c r="F11" i="2"/>
  <c r="E11" i="2"/>
  <c r="D11" i="2"/>
  <c r="F10" i="2"/>
  <c r="E10" i="2"/>
  <c r="D10" i="2"/>
  <c r="G8" i="2"/>
  <c r="F8" i="2"/>
  <c r="E8" i="2"/>
  <c r="D8" i="2"/>
  <c r="F7" i="2"/>
  <c r="E7" i="2"/>
  <c r="D7" i="2"/>
  <c r="F6" i="2"/>
  <c r="E6" i="2"/>
  <c r="D6" i="2"/>
  <c r="F5" i="2"/>
  <c r="E5" i="2"/>
  <c r="D5" i="2"/>
  <c r="G4" i="2"/>
  <c r="F4" i="2"/>
  <c r="E4" i="2"/>
  <c r="D4" i="2"/>
  <c r="K26" i="1"/>
  <c r="L26" i="1" s="1"/>
  <c r="M26" i="1" s="1"/>
  <c r="H26" i="1"/>
  <c r="G26" i="2" s="1"/>
  <c r="K25" i="1"/>
  <c r="L25" i="1" s="1"/>
  <c r="M25" i="1" s="1"/>
  <c r="T26" i="7" s="1"/>
  <c r="H25" i="1"/>
  <c r="G25" i="2" s="1"/>
  <c r="K24" i="1"/>
  <c r="L24" i="1" s="1"/>
  <c r="M24" i="1" s="1"/>
  <c r="T25" i="7" s="1"/>
  <c r="H24" i="1"/>
  <c r="P25" i="7" s="1"/>
  <c r="Z30" i="8" s="1"/>
  <c r="K23" i="1"/>
  <c r="L23" i="1" s="1"/>
  <c r="M23" i="1" s="1"/>
  <c r="T24" i="7" s="1"/>
  <c r="H23" i="1"/>
  <c r="P24" i="7" s="1"/>
  <c r="Z29" i="8" s="1"/>
  <c r="K22" i="1"/>
  <c r="L22" i="1" s="1"/>
  <c r="M22" i="1" s="1"/>
  <c r="H22" i="1"/>
  <c r="G22" i="2" s="1"/>
  <c r="K20" i="1"/>
  <c r="L20" i="1" s="1"/>
  <c r="M20" i="1" s="1"/>
  <c r="H20" i="1"/>
  <c r="P21" i="7" s="1"/>
  <c r="R32" i="8" s="1"/>
  <c r="K19" i="1"/>
  <c r="L19" i="1" s="1"/>
  <c r="M19" i="1" s="1"/>
  <c r="H19" i="1"/>
  <c r="G19" i="2" s="1"/>
  <c r="K18" i="1"/>
  <c r="L18" i="1" s="1"/>
  <c r="M18" i="1" s="1"/>
  <c r="H18" i="1"/>
  <c r="G18" i="2" s="1"/>
  <c r="K17" i="1"/>
  <c r="L17" i="1" s="1"/>
  <c r="M17" i="1" s="1"/>
  <c r="T18" i="7" s="1"/>
  <c r="H17" i="1"/>
  <c r="P18" i="7" s="1"/>
  <c r="R29" i="8" s="1"/>
  <c r="K16" i="1"/>
  <c r="L16" i="1" s="1"/>
  <c r="M16" i="1" s="1"/>
  <c r="T17" i="7" s="1"/>
  <c r="H16" i="1"/>
  <c r="P17" i="7" s="1"/>
  <c r="R28" i="8" s="1"/>
  <c r="K14" i="1"/>
  <c r="L14" i="1" s="1"/>
  <c r="M14" i="1" s="1"/>
  <c r="H14" i="1"/>
  <c r="G14" i="2" s="1"/>
  <c r="K13" i="1"/>
  <c r="L13" i="1" s="1"/>
  <c r="M13" i="1" s="1"/>
  <c r="H13" i="1"/>
  <c r="G13" i="2" s="1"/>
  <c r="K12" i="1"/>
  <c r="L12" i="1" s="1"/>
  <c r="M12" i="1" s="1"/>
  <c r="H12" i="1"/>
  <c r="P13" i="7" s="1"/>
  <c r="J30" i="8" s="1"/>
  <c r="K11" i="1"/>
  <c r="L11" i="1" s="1"/>
  <c r="M11" i="1" s="1"/>
  <c r="H11" i="1"/>
  <c r="G11" i="2" s="1"/>
  <c r="K10" i="1"/>
  <c r="L10" i="1" s="1"/>
  <c r="M10" i="1" s="1"/>
  <c r="H10" i="1"/>
  <c r="G10" i="2" s="1"/>
  <c r="K8" i="1"/>
  <c r="L8" i="1" s="1"/>
  <c r="M8" i="1" s="1"/>
  <c r="H8" i="1"/>
  <c r="K7" i="1"/>
  <c r="L7" i="1" s="1"/>
  <c r="M7" i="1" s="1"/>
  <c r="H7" i="1"/>
  <c r="G7" i="2" s="1"/>
  <c r="K6" i="1"/>
  <c r="L6" i="1" s="1"/>
  <c r="M6" i="1" s="1"/>
  <c r="H6" i="1"/>
  <c r="G6" i="2" s="1"/>
  <c r="K5" i="1"/>
  <c r="L5" i="1" s="1"/>
  <c r="M5" i="1" s="1"/>
  <c r="H5" i="1"/>
  <c r="P6" i="7" s="1"/>
  <c r="C29" i="8" s="1"/>
  <c r="K4" i="1"/>
  <c r="L4" i="1" s="1"/>
  <c r="M4" i="1" s="1"/>
  <c r="H4" i="1"/>
  <c r="R37" i="8" l="1"/>
  <c r="T9" i="7"/>
  <c r="H8" i="2"/>
  <c r="T19" i="7"/>
  <c r="H16" i="2"/>
  <c r="H10" i="4"/>
  <c r="U11" i="7"/>
  <c r="K36" i="8" s="1"/>
  <c r="D87" i="8" s="1"/>
  <c r="U20" i="7"/>
  <c r="S39" i="8" s="1"/>
  <c r="E90" i="8" s="1"/>
  <c r="H19" i="4"/>
  <c r="H12" i="6"/>
  <c r="V13" i="7"/>
  <c r="L38" i="8" s="1"/>
  <c r="L89" i="8" s="1"/>
  <c r="V23" i="7"/>
  <c r="AB36" i="8" s="1"/>
  <c r="N87" i="8" s="1"/>
  <c r="H22" i="6"/>
  <c r="U13" i="7"/>
  <c r="K38" i="8" s="1"/>
  <c r="D89" i="8" s="1"/>
  <c r="H12" i="4"/>
  <c r="V25" i="7"/>
  <c r="AB38" i="8" s="1"/>
  <c r="N89" i="8" s="1"/>
  <c r="H24" i="6"/>
  <c r="H7" i="2"/>
  <c r="T8" i="7"/>
  <c r="T13" i="7"/>
  <c r="H12" i="2"/>
  <c r="T23" i="7"/>
  <c r="H20" i="2"/>
  <c r="U5" i="7"/>
  <c r="D36" i="8" s="1"/>
  <c r="C87" i="8" s="1"/>
  <c r="H4" i="4"/>
  <c r="H13" i="4"/>
  <c r="U14" i="7"/>
  <c r="K39" i="8" s="1"/>
  <c r="D90" i="8" s="1"/>
  <c r="U24" i="7"/>
  <c r="AA37" i="8" s="1"/>
  <c r="F88" i="8" s="1"/>
  <c r="H23" i="4"/>
  <c r="V7" i="7"/>
  <c r="E38" i="8" s="1"/>
  <c r="K89" i="8" s="1"/>
  <c r="H6" i="6"/>
  <c r="V17" i="7"/>
  <c r="T36" i="8" s="1"/>
  <c r="M87" i="8" s="1"/>
  <c r="H16" i="6"/>
  <c r="V26" i="7"/>
  <c r="AB39" i="8" s="1"/>
  <c r="N90" i="8" s="1"/>
  <c r="H25" i="6"/>
  <c r="V12" i="7"/>
  <c r="L37" i="8" s="1"/>
  <c r="L88" i="8" s="1"/>
  <c r="H11" i="6"/>
  <c r="V24" i="7"/>
  <c r="AB37" i="8" s="1"/>
  <c r="N88" i="8" s="1"/>
  <c r="H23" i="6"/>
  <c r="H20" i="6"/>
  <c r="V21" i="7"/>
  <c r="T40" i="8" s="1"/>
  <c r="M91" i="8" s="1"/>
  <c r="H10" i="2"/>
  <c r="T11" i="7"/>
  <c r="H13" i="6"/>
  <c r="V14" i="7"/>
  <c r="L39" i="8" s="1"/>
  <c r="L90" i="8" s="1"/>
  <c r="H18" i="2"/>
  <c r="T21" i="7"/>
  <c r="Z37" i="8"/>
  <c r="H5" i="4"/>
  <c r="U6" i="7"/>
  <c r="D37" i="8" s="1"/>
  <c r="C88" i="8" s="1"/>
  <c r="H14" i="4"/>
  <c r="U15" i="7"/>
  <c r="K40" i="8" s="1"/>
  <c r="D91" i="8" s="1"/>
  <c r="U25" i="7"/>
  <c r="AA38" i="8" s="1"/>
  <c r="F89" i="8" s="1"/>
  <c r="H24" i="4"/>
  <c r="H7" i="6"/>
  <c r="V8" i="7"/>
  <c r="E39" i="8" s="1"/>
  <c r="K90" i="8" s="1"/>
  <c r="V18" i="7"/>
  <c r="T37" i="8" s="1"/>
  <c r="M88" i="8" s="1"/>
  <c r="H17" i="6"/>
  <c r="V27" i="7"/>
  <c r="AB40" i="8" s="1"/>
  <c r="N91" i="8" s="1"/>
  <c r="H26" i="6"/>
  <c r="H8" i="4"/>
  <c r="U9" i="7"/>
  <c r="D40" i="8" s="1"/>
  <c r="C91" i="8" s="1"/>
  <c r="T20" i="7"/>
  <c r="H17" i="2"/>
  <c r="H4" i="6"/>
  <c r="V5" i="7"/>
  <c r="E36" i="8" s="1"/>
  <c r="K87" i="8" s="1"/>
  <c r="H11" i="2"/>
  <c r="T12" i="7"/>
  <c r="H13" i="2"/>
  <c r="T14" i="7"/>
  <c r="U19" i="7"/>
  <c r="S38" i="8" s="1"/>
  <c r="E89" i="8" s="1"/>
  <c r="H18" i="4"/>
  <c r="U12" i="7"/>
  <c r="K37" i="8" s="1"/>
  <c r="D88" i="8" s="1"/>
  <c r="H11" i="4"/>
  <c r="U23" i="7"/>
  <c r="AA36" i="8" s="1"/>
  <c r="F87" i="8" s="1"/>
  <c r="H22" i="4"/>
  <c r="H5" i="2"/>
  <c r="T6" i="7"/>
  <c r="H14" i="2"/>
  <c r="T15" i="7"/>
  <c r="Z38" i="8"/>
  <c r="H6" i="4"/>
  <c r="U7" i="7"/>
  <c r="D38" i="8" s="1"/>
  <c r="C89" i="8" s="1"/>
  <c r="U17" i="7"/>
  <c r="S36" i="8" s="1"/>
  <c r="E87" i="8" s="1"/>
  <c r="H16" i="4"/>
  <c r="H25" i="4"/>
  <c r="U26" i="7"/>
  <c r="AA39" i="8" s="1"/>
  <c r="F90" i="8" s="1"/>
  <c r="H8" i="6"/>
  <c r="V9" i="7"/>
  <c r="E40" i="8" s="1"/>
  <c r="K91" i="8" s="1"/>
  <c r="V19" i="7"/>
  <c r="T38" i="8" s="1"/>
  <c r="M89" i="8" s="1"/>
  <c r="H18" i="6"/>
  <c r="V15" i="7"/>
  <c r="L40" i="8" s="1"/>
  <c r="L91" i="8" s="1"/>
  <c r="H14" i="6"/>
  <c r="H6" i="2"/>
  <c r="T7" i="7"/>
  <c r="R36" i="8"/>
  <c r="Z39" i="8"/>
  <c r="U8" i="7"/>
  <c r="D39" i="8" s="1"/>
  <c r="C90" i="8" s="1"/>
  <c r="H7" i="4"/>
  <c r="H17" i="4"/>
  <c r="U18" i="7"/>
  <c r="S37" i="8" s="1"/>
  <c r="E88" i="8" s="1"/>
  <c r="U27" i="7"/>
  <c r="AA40" i="8" s="1"/>
  <c r="F91" i="8" s="1"/>
  <c r="H26" i="4"/>
  <c r="V11" i="7"/>
  <c r="L36" i="8" s="1"/>
  <c r="L87" i="8" s="1"/>
  <c r="H10" i="6"/>
  <c r="V20" i="7"/>
  <c r="T39" i="8" s="1"/>
  <c r="M90" i="8" s="1"/>
  <c r="H19" i="6"/>
  <c r="T27" i="7"/>
  <c r="H22" i="2"/>
  <c r="U21" i="7"/>
  <c r="S40" i="8" s="1"/>
  <c r="E91" i="8" s="1"/>
  <c r="H20" i="4"/>
  <c r="H5" i="6"/>
  <c r="V6" i="7"/>
  <c r="E37" i="8" s="1"/>
  <c r="K88" i="8" s="1"/>
  <c r="H4" i="2"/>
  <c r="T5" i="7"/>
  <c r="G4" i="4"/>
  <c r="G23" i="4"/>
  <c r="R8" i="7"/>
  <c r="E31" i="8" s="1"/>
  <c r="K82" i="8" s="1"/>
  <c r="P11" i="7"/>
  <c r="J28" i="8" s="1"/>
  <c r="P12" i="7"/>
  <c r="J29" i="8" s="1"/>
  <c r="P15" i="7"/>
  <c r="J32" i="8" s="1"/>
  <c r="G5" i="2"/>
  <c r="G24" i="2"/>
  <c r="G19" i="4"/>
  <c r="G14" i="6"/>
  <c r="Q11" i="7"/>
  <c r="K28" i="8" s="1"/>
  <c r="D79" i="8" s="1"/>
  <c r="Q14" i="7"/>
  <c r="K31" i="8" s="1"/>
  <c r="D82" i="8" s="1"/>
  <c r="G20" i="2"/>
  <c r="G16" i="4"/>
  <c r="R13" i="7"/>
  <c r="L30" i="8" s="1"/>
  <c r="L81" i="8" s="1"/>
  <c r="G22" i="6"/>
  <c r="G17" i="2"/>
  <c r="G26" i="6"/>
  <c r="P19" i="7"/>
  <c r="R30" i="8" s="1"/>
  <c r="P20" i="7"/>
  <c r="R31" i="8" s="1"/>
  <c r="G8" i="4"/>
  <c r="G23" i="6"/>
  <c r="Q18" i="7"/>
  <c r="S29" i="8" s="1"/>
  <c r="E80" i="8" s="1"/>
  <c r="Q21" i="7"/>
  <c r="S32" i="8" s="1"/>
  <c r="E83" i="8" s="1"/>
  <c r="G19" i="6"/>
  <c r="R18" i="7"/>
  <c r="T29" i="8" s="1"/>
  <c r="M80" i="8" s="1"/>
  <c r="P23" i="7"/>
  <c r="Z28" i="8" s="1"/>
  <c r="P26" i="7"/>
  <c r="Z31" i="8" s="1"/>
  <c r="P27" i="7"/>
  <c r="Z32" i="8" s="1"/>
  <c r="Q23" i="7"/>
  <c r="AA28" i="8" s="1"/>
  <c r="F79" i="8" s="1"/>
  <c r="Q26" i="7"/>
  <c r="AA31" i="8" s="1"/>
  <c r="F82" i="8" s="1"/>
  <c r="R25" i="7"/>
  <c r="AB30" i="8" s="1"/>
  <c r="N81" i="8" s="1"/>
  <c r="W26" i="7" l="1"/>
  <c r="F48" i="8" s="1"/>
  <c r="W17" i="7"/>
  <c r="E45" i="8" s="1"/>
  <c r="W25" i="7"/>
  <c r="F47" i="8" s="1"/>
  <c r="J36" i="8"/>
  <c r="W11" i="7"/>
  <c r="D45" i="8" s="1"/>
  <c r="W21" i="7"/>
  <c r="E49" i="8" s="1"/>
  <c r="R40" i="8"/>
  <c r="W23" i="7"/>
  <c r="F45" i="8" s="1"/>
  <c r="Z36" i="8"/>
  <c r="J37" i="8"/>
  <c r="W12" i="7"/>
  <c r="D46" i="8" s="1"/>
  <c r="J38" i="8"/>
  <c r="W13" i="7"/>
  <c r="D47" i="8" s="1"/>
  <c r="R38" i="8"/>
  <c r="W19" i="7"/>
  <c r="E47" i="8" s="1"/>
  <c r="C37" i="8"/>
  <c r="W6" i="7"/>
  <c r="C46" i="8" s="1"/>
  <c r="W8" i="7"/>
  <c r="C48" i="8" s="1"/>
  <c r="C39" i="8"/>
  <c r="W5" i="7"/>
  <c r="C45" i="8" s="1"/>
  <c r="C36" i="8"/>
  <c r="W9" i="7"/>
  <c r="C49" i="8" s="1"/>
  <c r="C40" i="8"/>
  <c r="C38" i="8"/>
  <c r="W7" i="7"/>
  <c r="C47" i="8" s="1"/>
  <c r="W15" i="7"/>
  <c r="D49" i="8" s="1"/>
  <c r="J40" i="8"/>
  <c r="W14" i="7"/>
  <c r="D48" i="8" s="1"/>
  <c r="J39" i="8"/>
  <c r="W27" i="7"/>
  <c r="F49" i="8" s="1"/>
  <c r="Z40" i="8"/>
  <c r="W20" i="7"/>
  <c r="E48" i="8" s="1"/>
  <c r="R39" i="8"/>
  <c r="W24" i="7"/>
  <c r="F46" i="8" s="1"/>
  <c r="W18" i="7"/>
  <c r="E46" i="8" s="1"/>
</calcChain>
</file>

<file path=xl/sharedStrings.xml><?xml version="1.0" encoding="utf-8"?>
<sst xmlns="http://schemas.openxmlformats.org/spreadsheetml/2006/main" count="281" uniqueCount="35">
  <si>
    <t xml:space="preserve"> </t>
  </si>
  <si>
    <t>AMOSTRA</t>
  </si>
  <si>
    <t>pH</t>
  </si>
  <si>
    <t>TURBIDEZ (NTU)</t>
  </si>
  <si>
    <t>CONDUTIVIDADE mS/cm</t>
  </si>
  <si>
    <t>COR</t>
  </si>
  <si>
    <t>DQO</t>
  </si>
  <si>
    <t>Medida</t>
  </si>
  <si>
    <t>Diluição</t>
  </si>
  <si>
    <t>Triplicata  1</t>
  </si>
  <si>
    <t>Triplicata  2</t>
  </si>
  <si>
    <t>Média</t>
  </si>
  <si>
    <t>Valor</t>
  </si>
  <si>
    <t>AI</t>
  </si>
  <si>
    <t>A</t>
  </si>
  <si>
    <t>BI</t>
  </si>
  <si>
    <t>B</t>
  </si>
  <si>
    <t>μS/cm</t>
  </si>
  <si>
    <t>I</t>
  </si>
  <si>
    <t>X</t>
  </si>
  <si>
    <t>Duplicata 1</t>
  </si>
  <si>
    <t>Duplicata 2</t>
  </si>
  <si>
    <t>8,,98</t>
  </si>
  <si>
    <t>Dia 0</t>
  </si>
  <si>
    <t>Dia 7</t>
  </si>
  <si>
    <t>Dia 14</t>
  </si>
  <si>
    <t>Degradação DQO (%)</t>
  </si>
  <si>
    <t>TURBIDEZ
(NTU)</t>
  </si>
  <si>
    <t>CONDUTIVIDADE
mS/cm</t>
  </si>
  <si>
    <t>Concentrações</t>
  </si>
  <si>
    <t>DEGRADAÇÃO DE DQO (%)</t>
  </si>
  <si>
    <t>(%)</t>
  </si>
  <si>
    <t>Turbidez</t>
  </si>
  <si>
    <t>Condutividade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</si>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</sst>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color rgb="FF000000"/>
      <name val="Arial"/>
      <scheme val="minor"/>
    </font>
    <font>
      <sz val="11"/>
      <color rgb="FF4D5156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/>
    </xf>
    <xf numFmtId="2" fontId="2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3" fillId="0" borderId="6" xfId="0" applyFont="1" applyBorder="1"/>
    <xf numFmtId="2" fontId="2" fillId="3" borderId="9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1" fontId="2" fillId="3" borderId="5" xfId="0" applyNumberFormat="1" applyFont="1" applyFill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/>
    </xf>
    <xf numFmtId="0" fontId="4" fillId="0" borderId="0" xfId="0" applyFont="1"/>
    <xf numFmtId="2" fontId="2" fillId="4" borderId="12" xfId="0" applyNumberFormat="1" applyFont="1" applyFill="1" applyBorder="1" applyAlignment="1">
      <alignment horizontal="center" vertical="center"/>
    </xf>
    <xf numFmtId="2" fontId="2" fillId="4" borderId="10" xfId="0" applyNumberFormat="1" applyFont="1" applyFill="1" applyBorder="1" applyAlignment="1">
      <alignment horizontal="center" vertical="center"/>
    </xf>
    <xf numFmtId="2" fontId="2" fillId="5" borderId="12" xfId="0" applyNumberFormat="1" applyFont="1" applyFill="1" applyBorder="1" applyAlignment="1">
      <alignment horizontal="center" vertical="center"/>
    </xf>
    <xf numFmtId="2" fontId="2" fillId="5" borderId="10" xfId="0" applyNumberFormat="1" applyFont="1" applyFill="1" applyBorder="1" applyAlignment="1">
      <alignment horizontal="center" vertical="center"/>
    </xf>
    <xf numFmtId="2" fontId="2" fillId="6" borderId="12" xfId="0" applyNumberFormat="1" applyFont="1" applyFill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2" fillId="7" borderId="12" xfId="0" applyNumberFormat="1" applyFont="1" applyFill="1" applyBorder="1" applyAlignment="1">
      <alignment horizontal="center" vertical="center"/>
    </xf>
    <xf numFmtId="2" fontId="2" fillId="7" borderId="10" xfId="0" applyNumberFormat="1" applyFont="1" applyFill="1" applyBorder="1" applyAlignment="1">
      <alignment horizontal="center" vertical="center"/>
    </xf>
    <xf numFmtId="2" fontId="2" fillId="8" borderId="12" xfId="0" applyNumberFormat="1" applyFont="1" applyFill="1" applyBorder="1" applyAlignment="1">
      <alignment horizontal="center" vertical="center"/>
    </xf>
    <xf numFmtId="2" fontId="2" fillId="8" borderId="10" xfId="0" applyNumberFormat="1" applyFont="1" applyFill="1" applyBorder="1" applyAlignment="1">
      <alignment horizontal="center" vertical="center"/>
    </xf>
    <xf numFmtId="0" fontId="3" fillId="0" borderId="1" xfId="0" applyFont="1" applyBorder="1"/>
    <xf numFmtId="2" fontId="2" fillId="0" borderId="1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14" xfId="0" applyFont="1" applyBorder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1" fontId="2" fillId="3" borderId="10" xfId="0" applyNumberFormat="1" applyFont="1" applyFill="1" applyBorder="1" applyAlignment="1">
      <alignment horizontal="center" vertical="center"/>
    </xf>
    <xf numFmtId="2" fontId="2" fillId="10" borderId="10" xfId="0" applyNumberFormat="1" applyFont="1" applyFill="1" applyBorder="1" applyAlignment="1">
      <alignment horizontal="center"/>
    </xf>
    <xf numFmtId="2" fontId="2" fillId="11" borderId="10" xfId="0" applyNumberFormat="1" applyFont="1" applyFill="1" applyBorder="1" applyAlignment="1">
      <alignment horizontal="center" vertical="center"/>
    </xf>
    <xf numFmtId="2" fontId="2" fillId="12" borderId="3" xfId="0" applyNumberFormat="1" applyFont="1" applyFill="1" applyBorder="1" applyAlignment="1">
      <alignment horizontal="center"/>
    </xf>
    <xf numFmtId="2" fontId="2" fillId="12" borderId="10" xfId="0" applyNumberFormat="1" applyFont="1" applyFill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13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0" xfId="0" applyFont="1"/>
    <xf numFmtId="0" fontId="2" fillId="15" borderId="10" xfId="0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2" fillId="17" borderId="10" xfId="0" applyFont="1" applyFill="1" applyBorder="1" applyAlignment="1">
      <alignment horizontal="center"/>
    </xf>
    <xf numFmtId="0" fontId="2" fillId="18" borderId="10" xfId="0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19" borderId="10" xfId="0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2" fontId="2" fillId="3" borderId="3" xfId="0" applyNumberFormat="1" applyFont="1" applyFill="1" applyBorder="1" applyAlignment="1">
      <alignment horizontal="center" vertical="center"/>
    </xf>
    <xf numFmtId="0" fontId="3" fillId="0" borderId="8" xfId="0" applyFont="1" applyBorder="1"/>
    <xf numFmtId="2" fontId="2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11" xfId="0" applyFont="1" applyBorder="1"/>
    <xf numFmtId="164" fontId="2" fillId="3" borderId="1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/>
    </xf>
    <xf numFmtId="0" fontId="3" fillId="0" borderId="12" xfId="0" applyFont="1" applyBorder="1"/>
    <xf numFmtId="164" fontId="2" fillId="3" borderId="2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2" fontId="2" fillId="3" borderId="13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2" fillId="3" borderId="3" xfId="0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/>
    </xf>
    <xf numFmtId="0" fontId="0" fillId="0" borderId="0" xfId="0"/>
    <xf numFmtId="0" fontId="2" fillId="9" borderId="3" xfId="0" applyFont="1" applyFill="1" applyBorder="1" applyAlignment="1">
      <alignment horizontal="center" vertical="center" wrapText="1"/>
    </xf>
    <xf numFmtId="0" fontId="3" fillId="0" borderId="14" xfId="0" applyFont="1" applyBorder="1"/>
    <xf numFmtId="2" fontId="2" fillId="4" borderId="13" xfId="0" applyNumberFormat="1" applyFont="1" applyFill="1" applyBorder="1" applyAlignment="1">
      <alignment horizontal="center" vertical="center"/>
    </xf>
    <xf numFmtId="0" fontId="3" fillId="0" borderId="1" xfId="0" applyFont="1" applyBorder="1"/>
    <xf numFmtId="2" fontId="2" fillId="5" borderId="13" xfId="0" applyNumberFormat="1" applyFont="1" applyFill="1" applyBorder="1" applyAlignment="1">
      <alignment horizontal="center" vertical="center"/>
    </xf>
    <xf numFmtId="2" fontId="2" fillId="6" borderId="13" xfId="0" applyNumberFormat="1" applyFont="1" applyFill="1" applyBorder="1" applyAlignment="1">
      <alignment horizontal="center" vertical="center"/>
    </xf>
    <xf numFmtId="2" fontId="2" fillId="7" borderId="13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2" fillId="17" borderId="4" xfId="0" applyFont="1" applyFill="1" applyBorder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 vertical="center"/>
    </xf>
    <xf numFmtId="2" fontId="2" fillId="10" borderId="4" xfId="0" applyNumberFormat="1" applyFont="1" applyFill="1" applyBorder="1" applyAlignment="1">
      <alignment horizontal="center" vertical="center"/>
    </xf>
    <xf numFmtId="2" fontId="2" fillId="11" borderId="4" xfId="0" applyNumberFormat="1" applyFont="1" applyFill="1" applyBorder="1" applyAlignment="1">
      <alignment horizontal="center" vertical="center"/>
    </xf>
    <xf numFmtId="2" fontId="2" fillId="12" borderId="4" xfId="0" applyNumberFormat="1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left"/>
    </xf>
    <xf numFmtId="0" fontId="2" fillId="14" borderId="0" xfId="0" applyFont="1" applyFill="1"/>
    <xf numFmtId="0" fontId="3" fillId="0" borderId="0" xfId="0" applyFont="1" applyBorder="1"/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 AI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Gráficos!$B$4:$B$8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Gráficos!$C$4:$C$8</c:f>
              <c:numCache>
                <c:formatCode>0.00</c:formatCode>
                <c:ptCount val="5"/>
                <c:pt idx="0">
                  <c:v>8.1199999999999992</c:v>
                </c:pt>
                <c:pt idx="1">
                  <c:v>9.68</c:v>
                </c:pt>
                <c:pt idx="2">
                  <c:v>9.57</c:v>
                </c:pt>
                <c:pt idx="3">
                  <c:v>9.5</c:v>
                </c:pt>
                <c:pt idx="4">
                  <c:v>9.4600000000000009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9A-4035-BED9-F583F098B47D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Gráficos!$B$4:$B$8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Gráficos!$D$4:$D$8</c:f>
              <c:numCache>
                <c:formatCode>0.00</c:formatCode>
                <c:ptCount val="5"/>
                <c:pt idx="0">
                  <c:v>7.85</c:v>
                </c:pt>
                <c:pt idx="1">
                  <c:v>9.09</c:v>
                </c:pt>
                <c:pt idx="2">
                  <c:v>90.9</c:v>
                </c:pt>
                <c:pt idx="3">
                  <c:v>9.1199999999999992</c:v>
                </c:pt>
                <c:pt idx="4">
                  <c:v>9.15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9A-4035-BED9-F583F098B47D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Gráficos!$B$4:$B$8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Gráficos!$E$4:$E$8</c:f>
              <c:numCache>
                <c:formatCode>0.00</c:formatCode>
                <c:ptCount val="5"/>
                <c:pt idx="0">
                  <c:v>8.8699999999999992</c:v>
                </c:pt>
                <c:pt idx="1">
                  <c:v>9.11</c:v>
                </c:pt>
                <c:pt idx="2">
                  <c:v>9.17</c:v>
                </c:pt>
                <c:pt idx="3">
                  <c:v>9.26</c:v>
                </c:pt>
                <c:pt idx="4">
                  <c:v>9.33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E9A-4035-BED9-F583F098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300435"/>
        <c:axId val="1951202637"/>
      </c:barChart>
      <c:catAx>
        <c:axId val="856300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51202637"/>
        <c:crosses val="autoZero"/>
        <c:auto val="1"/>
        <c:lblAlgn val="ctr"/>
        <c:lblOffset val="100"/>
        <c:noMultiLvlLbl val="1"/>
      </c:catAx>
      <c:valAx>
        <c:axId val="19512026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563004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Candida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Gráficos!$B$12:$B$16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Gráficos!$C$12:$C$16</c:f>
              <c:numCache>
                <c:formatCode>0.00</c:formatCode>
                <c:ptCount val="5"/>
                <c:pt idx="0">
                  <c:v>0</c:v>
                </c:pt>
                <c:pt idx="1">
                  <c:v>21.8</c:v>
                </c:pt>
                <c:pt idx="2">
                  <c:v>32.200000000000003</c:v>
                </c:pt>
                <c:pt idx="3">
                  <c:v>40.299999999999997</c:v>
                </c:pt>
                <c:pt idx="4">
                  <c:v>46.5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56-48CD-A94C-0D7DF94ED495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Gráficos!$B$12:$B$16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Gráficos!$D$12:$D$16</c:f>
              <c:numCache>
                <c:formatCode>0.00</c:formatCode>
                <c:ptCount val="5"/>
                <c:pt idx="0">
                  <c:v>8.67</c:v>
                </c:pt>
                <c:pt idx="1">
                  <c:v>24.4</c:v>
                </c:pt>
                <c:pt idx="2">
                  <c:v>36.299999999999997</c:v>
                </c:pt>
                <c:pt idx="3">
                  <c:v>47.6</c:v>
                </c:pt>
                <c:pt idx="4">
                  <c:v>56.5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56-48CD-A94C-0D7DF94ED495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Gráficos!$B$12:$B$16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Gráficos!$E$12:$E$16</c:f>
              <c:numCache>
                <c:formatCode>0.00</c:formatCode>
                <c:ptCount val="5"/>
                <c:pt idx="0">
                  <c:v>5.22</c:v>
                </c:pt>
                <c:pt idx="1">
                  <c:v>26.1</c:v>
                </c:pt>
                <c:pt idx="2">
                  <c:v>40.200000000000003</c:v>
                </c:pt>
                <c:pt idx="3">
                  <c:v>49.6</c:v>
                </c:pt>
                <c:pt idx="4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56-48CD-A94C-0D7DF94ED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4545563"/>
        <c:axId val="356353588"/>
      </c:barChart>
      <c:catAx>
        <c:axId val="1994545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56353588"/>
        <c:crosses val="autoZero"/>
        <c:auto val="1"/>
        <c:lblAlgn val="ctr"/>
        <c:lblOffset val="100"/>
        <c:noMultiLvlLbl val="1"/>
      </c:catAx>
      <c:valAx>
        <c:axId val="3563535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945455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 (mS/cm)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Gráficos!$B$20:$B$24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Gráficos!$C$20:$C$24</c:f>
              <c:numCache>
                <c:formatCode>0.00</c:formatCode>
                <c:ptCount val="5"/>
                <c:pt idx="0">
                  <c:v>0</c:v>
                </c:pt>
                <c:pt idx="1">
                  <c:v>4.38</c:v>
                </c:pt>
                <c:pt idx="2">
                  <c:v>8.31</c:v>
                </c:pt>
                <c:pt idx="3">
                  <c:v>12.39</c:v>
                </c:pt>
                <c:pt idx="4">
                  <c:v>16.02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38-40DE-A569-487266B76EA9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Gráficos!$B$20:$B$24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Gráficos!$D$20:$D$24</c:f>
              <c:numCache>
                <c:formatCode>0.00</c:formatCode>
                <c:ptCount val="5"/>
                <c:pt idx="0">
                  <c:v>44.1</c:v>
                </c:pt>
                <c:pt idx="1">
                  <c:v>4.3499999999999996</c:v>
                </c:pt>
                <c:pt idx="2">
                  <c:v>8.4600000000000009</c:v>
                </c:pt>
                <c:pt idx="3">
                  <c:v>12.08</c:v>
                </c:pt>
                <c:pt idx="4">
                  <c:v>14.9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38-40DE-A569-487266B76EA9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Gráficos!$B$20:$B$24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Gráficos!$E$20:$E$24</c:f>
              <c:numCache>
                <c:formatCode>0.00</c:formatCode>
                <c:ptCount val="5"/>
                <c:pt idx="0">
                  <c:v>267.2</c:v>
                </c:pt>
                <c:pt idx="1">
                  <c:v>4.2300000000000004</c:v>
                </c:pt>
                <c:pt idx="2">
                  <c:v>8.1300000000000008</c:v>
                </c:pt>
                <c:pt idx="3">
                  <c:v>11.52</c:v>
                </c:pt>
                <c:pt idx="4">
                  <c:v>14.52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38-40DE-A569-487266B76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732085"/>
        <c:axId val="297804720"/>
      </c:barChart>
      <c:catAx>
        <c:axId val="124373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97804720"/>
        <c:crosses val="autoZero"/>
        <c:auto val="1"/>
        <c:lblAlgn val="ctr"/>
        <c:lblOffset val="100"/>
        <c:noMultiLvlLbl val="1"/>
      </c:catAx>
      <c:valAx>
        <c:axId val="297804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437320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Gráficos!$B$28:$B$32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Gráficos!$C$28:$C$32</c:f>
              <c:numCache>
                <c:formatCode>0.00</c:formatCode>
                <c:ptCount val="5"/>
                <c:pt idx="0">
                  <c:v>0</c:v>
                </c:pt>
                <c:pt idx="1">
                  <c:v>1260</c:v>
                </c:pt>
                <c:pt idx="2">
                  <c:v>2440</c:v>
                </c:pt>
                <c:pt idx="3">
                  <c:v>3740</c:v>
                </c:pt>
                <c:pt idx="4">
                  <c:v>4920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4D-45F6-97F0-CD2F88C39818}"/>
            </c:ext>
          </c:extLst>
        </c:ser>
        <c:ser>
          <c:idx val="1"/>
          <c:order val="1"/>
          <c:tx>
            <c:v>Dia 7</c:v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Gráficos!$B$28:$B$32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Gráficos!$D$28:$D$32</c:f>
              <c:numCache>
                <c:formatCode>0.00</c:formatCode>
                <c:ptCount val="5"/>
                <c:pt idx="0">
                  <c:v>96</c:v>
                </c:pt>
                <c:pt idx="1">
                  <c:v>535</c:v>
                </c:pt>
                <c:pt idx="2">
                  <c:v>2050</c:v>
                </c:pt>
                <c:pt idx="3">
                  <c:v>1620</c:v>
                </c:pt>
                <c:pt idx="4">
                  <c:v>2050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94D-45F6-97F0-CD2F88C39818}"/>
            </c:ext>
          </c:extLst>
        </c:ser>
        <c:ser>
          <c:idx val="2"/>
          <c:order val="2"/>
          <c:tx>
            <c:v>Dia 14</c:v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Gráficos!$B$28:$B$32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Gráficos!$E$28:$E$32</c:f>
              <c:numCache>
                <c:formatCode>0.00</c:formatCode>
                <c:ptCount val="5"/>
                <c:pt idx="0">
                  <c:v>0</c:v>
                </c:pt>
                <c:pt idx="1">
                  <c:v>1270</c:v>
                </c:pt>
                <c:pt idx="2">
                  <c:v>2260</c:v>
                </c:pt>
                <c:pt idx="3">
                  <c:v>3300</c:v>
                </c:pt>
                <c:pt idx="4">
                  <c:v>4160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94D-45F6-97F0-CD2F88C3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910782"/>
        <c:axId val="1198708310"/>
      </c:barChart>
      <c:catAx>
        <c:axId val="1755910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98708310"/>
        <c:crosses val="autoZero"/>
        <c:auto val="1"/>
        <c:lblAlgn val="ctr"/>
        <c:lblOffset val="100"/>
        <c:noMultiLvlLbl val="1"/>
      </c:catAx>
      <c:valAx>
        <c:axId val="1198708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559107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DQO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Gráficos!$B$36:$B$40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Gráficos!$C$36:$C$40</c:f>
              <c:numCache>
                <c:formatCode>0.00</c:formatCode>
                <c:ptCount val="5"/>
                <c:pt idx="0">
                  <c:v>-3.8929999999999998</c:v>
                </c:pt>
                <c:pt idx="1">
                  <c:v>423.59166250000004</c:v>
                </c:pt>
                <c:pt idx="2">
                  <c:v>977.28608250000002</c:v>
                </c:pt>
                <c:pt idx="3">
                  <c:v>1339.6302250000001</c:v>
                </c:pt>
                <c:pt idx="4">
                  <c:v>1583.9071750000001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A5-4066-93EA-828E8BC180F9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Gráficos!$B$36:$B$40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Gráficos!$D$36:$D$40</c:f>
              <c:numCache>
                <c:formatCode>0.00</c:formatCode>
                <c:ptCount val="5"/>
                <c:pt idx="0">
                  <c:v>40.076850999999998</c:v>
                </c:pt>
                <c:pt idx="1">
                  <c:v>407.3065325</c:v>
                </c:pt>
                <c:pt idx="2">
                  <c:v>961.00095249999993</c:v>
                </c:pt>
                <c:pt idx="3">
                  <c:v>614.94193999999993</c:v>
                </c:pt>
                <c:pt idx="4">
                  <c:v>822.57734750000009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4A5-4066-93EA-828E8BC180F9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Gráficos!$B$36:$B$40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Gráficos!$E$36:$E$40</c:f>
              <c:numCache>
                <c:formatCode>0.00</c:formatCode>
                <c:ptCount val="5"/>
                <c:pt idx="0">
                  <c:v>35.191311999999996</c:v>
                </c:pt>
                <c:pt idx="1">
                  <c:v>468.37576999999999</c:v>
                </c:pt>
                <c:pt idx="2">
                  <c:v>989.49992999999995</c:v>
                </c:pt>
                <c:pt idx="3">
                  <c:v>1339.6302250000001</c:v>
                </c:pt>
                <c:pt idx="4">
                  <c:v>1828.1841249999998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4A5-4066-93EA-828E8BC18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3886548"/>
        <c:axId val="1664973135"/>
      </c:barChart>
      <c:catAx>
        <c:axId val="1853886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64973135"/>
        <c:crosses val="autoZero"/>
        <c:auto val="1"/>
        <c:lblAlgn val="ctr"/>
        <c:lblOffset val="100"/>
        <c:noMultiLvlLbl val="1"/>
      </c:catAx>
      <c:valAx>
        <c:axId val="1664973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538865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Gráficos!$C$53:$C$54</c:f>
              <c:strCache>
                <c:ptCount val="2"/>
                <c:pt idx="0">
                  <c:v>Dia 7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Gráficos!$B$55:$B$59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Gráficos!$C$55:$C$59</c:f>
              <c:numCache>
                <c:formatCode>0.00</c:formatCode>
                <c:ptCount val="5"/>
                <c:pt idx="0">
                  <c:v>7.85</c:v>
                </c:pt>
                <c:pt idx="1">
                  <c:v>9.09</c:v>
                </c:pt>
                <c:pt idx="2">
                  <c:v>90.9</c:v>
                </c:pt>
                <c:pt idx="3">
                  <c:v>9.1199999999999992</c:v>
                </c:pt>
                <c:pt idx="4">
                  <c:v>9.15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BF-47CA-A789-E74B60FE5232}"/>
            </c:ext>
          </c:extLst>
        </c:ser>
        <c:ser>
          <c:idx val="1"/>
          <c:order val="1"/>
          <c:tx>
            <c:strRef>
              <c:f>Gráficos!$D$53:$D$54</c:f>
              <c:strCache>
                <c:ptCount val="2"/>
                <c:pt idx="0">
                  <c:v>Dia 7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Gráficos!$B$55:$B$59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Gráficos!$D$55:$D$59</c:f>
              <c:numCache>
                <c:formatCode>0.00</c:formatCode>
                <c:ptCount val="5"/>
                <c:pt idx="0">
                  <c:v>7.77</c:v>
                </c:pt>
                <c:pt idx="1">
                  <c:v>8.98</c:v>
                </c:pt>
                <c:pt idx="2">
                  <c:v>9.1</c:v>
                </c:pt>
                <c:pt idx="3">
                  <c:v>9.1300000000000008</c:v>
                </c:pt>
                <c:pt idx="4">
                  <c:v>9.16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BF-47CA-A789-E74B60FE5232}"/>
            </c:ext>
          </c:extLst>
        </c:ser>
        <c:ser>
          <c:idx val="2"/>
          <c:order val="2"/>
          <c:tx>
            <c:strRef>
              <c:f>Gráficos!$E$53:$E$54</c:f>
              <c:strCache>
                <c:ptCount val="2"/>
                <c:pt idx="0">
                  <c:v>Dia 7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Gráficos!$B$55:$B$59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Gráficos!$E$55:$E$59</c:f>
              <c:numCache>
                <c:formatCode>0.00</c:formatCode>
                <c:ptCount val="5"/>
                <c:pt idx="0">
                  <c:v>7.85</c:v>
                </c:pt>
                <c:pt idx="1">
                  <c:v>8.9700000000000006</c:v>
                </c:pt>
                <c:pt idx="2">
                  <c:v>9.02</c:v>
                </c:pt>
                <c:pt idx="3">
                  <c:v>9.01</c:v>
                </c:pt>
                <c:pt idx="4">
                  <c:v>8.9600000000000009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BF-47CA-A789-E74B60FE5232}"/>
            </c:ext>
          </c:extLst>
        </c:ser>
        <c:ser>
          <c:idx val="3"/>
          <c:order val="3"/>
          <c:tx>
            <c:strRef>
              <c:f>Gráficos!$F$53:$F$54</c:f>
              <c:strCache>
                <c:ptCount val="2"/>
                <c:pt idx="0">
                  <c:v>Dia 7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Gráficos!$B$55:$B$59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Gráficos!$F$55:$F$59</c:f>
              <c:numCache>
                <c:formatCode>0.00</c:formatCode>
                <c:ptCount val="5"/>
                <c:pt idx="0">
                  <c:v>7.77</c:v>
                </c:pt>
                <c:pt idx="1">
                  <c:v>0</c:v>
                </c:pt>
                <c:pt idx="2">
                  <c:v>9.02</c:v>
                </c:pt>
                <c:pt idx="3">
                  <c:v>9.01</c:v>
                </c:pt>
                <c:pt idx="4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7BF-47CA-A789-E74B60FE5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8474993"/>
        <c:axId val="1577910982"/>
      </c:barChart>
      <c:catAx>
        <c:axId val="1898474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77910982"/>
        <c:crosses val="autoZero"/>
        <c:auto val="1"/>
        <c:lblAlgn val="ctr"/>
        <c:lblOffset val="100"/>
        <c:noMultiLvlLbl val="1"/>
      </c:catAx>
      <c:valAx>
        <c:axId val="15779109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984749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Gráficos!$K$53:$K$54</c:f>
              <c:strCache>
                <c:ptCount val="2"/>
                <c:pt idx="0">
                  <c:v>Dia 14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Gráficos!$J$55:$J$59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Gráficos!$K$55:$K$59</c:f>
              <c:numCache>
                <c:formatCode>0.00</c:formatCode>
                <c:ptCount val="5"/>
                <c:pt idx="0">
                  <c:v>8.8699999999999992</c:v>
                </c:pt>
                <c:pt idx="1">
                  <c:v>9.11</c:v>
                </c:pt>
                <c:pt idx="2">
                  <c:v>9.17</c:v>
                </c:pt>
                <c:pt idx="3">
                  <c:v>9.26</c:v>
                </c:pt>
                <c:pt idx="4">
                  <c:v>9.33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60-4554-BD9B-8839AA331915}"/>
            </c:ext>
          </c:extLst>
        </c:ser>
        <c:ser>
          <c:idx val="1"/>
          <c:order val="1"/>
          <c:tx>
            <c:strRef>
              <c:f>Gráficos!$L$53:$L$54</c:f>
              <c:strCache>
                <c:ptCount val="2"/>
                <c:pt idx="0">
                  <c:v>Dia 14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Gráficos!$J$55:$J$59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Gráficos!$L$55:$L$59</c:f>
              <c:numCache>
                <c:formatCode>0.00</c:formatCode>
                <c:ptCount val="5"/>
                <c:pt idx="0">
                  <c:v>9.25</c:v>
                </c:pt>
                <c:pt idx="1">
                  <c:v>9.19</c:v>
                </c:pt>
                <c:pt idx="2">
                  <c:v>9.1999999999999993</c:v>
                </c:pt>
                <c:pt idx="3">
                  <c:v>9.27</c:v>
                </c:pt>
                <c:pt idx="4">
                  <c:v>9.34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60-4554-BD9B-8839AA331915}"/>
            </c:ext>
          </c:extLst>
        </c:ser>
        <c:ser>
          <c:idx val="2"/>
          <c:order val="2"/>
          <c:tx>
            <c:strRef>
              <c:f>Gráficos!$M$53:$M$54</c:f>
              <c:strCache>
                <c:ptCount val="2"/>
                <c:pt idx="0">
                  <c:v>Dia 14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Gráficos!$J$55:$J$59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Gráficos!$M$55:$M$59</c:f>
              <c:numCache>
                <c:formatCode>0.00</c:formatCode>
                <c:ptCount val="5"/>
                <c:pt idx="0">
                  <c:v>8.5500000000000007</c:v>
                </c:pt>
                <c:pt idx="1">
                  <c:v>9.18</c:v>
                </c:pt>
                <c:pt idx="2">
                  <c:v>8.9499999999999993</c:v>
                </c:pt>
                <c:pt idx="3">
                  <c:v>9.3000000000000007</c:v>
                </c:pt>
                <c:pt idx="4">
                  <c:v>9.2899999999999991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960-4554-BD9B-8839AA331915}"/>
            </c:ext>
          </c:extLst>
        </c:ser>
        <c:ser>
          <c:idx val="3"/>
          <c:order val="3"/>
          <c:tx>
            <c:strRef>
              <c:f>Gráficos!$N$53:$N$54</c:f>
              <c:strCache>
                <c:ptCount val="2"/>
                <c:pt idx="0">
                  <c:v>Dia 14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Gráficos!$J$55:$J$59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Gráficos!$N$55:$N$59</c:f>
              <c:numCache>
                <c:formatCode>0.00</c:formatCode>
                <c:ptCount val="5"/>
                <c:pt idx="0">
                  <c:v>8.69</c:v>
                </c:pt>
                <c:pt idx="1">
                  <c:v>9.2100000000000009</c:v>
                </c:pt>
                <c:pt idx="2">
                  <c:v>9.19</c:v>
                </c:pt>
                <c:pt idx="3">
                  <c:v>9.2899999999999991</c:v>
                </c:pt>
                <c:pt idx="4">
                  <c:v>9.2799999999999994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960-4554-BD9B-8839AA331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225663"/>
        <c:axId val="1710435725"/>
      </c:barChart>
      <c:catAx>
        <c:axId val="113822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10435725"/>
        <c:crosses val="autoZero"/>
        <c:auto val="1"/>
        <c:lblAlgn val="ctr"/>
        <c:lblOffset val="100"/>
        <c:noMultiLvlLbl val="1"/>
      </c:catAx>
      <c:valAx>
        <c:axId val="17104357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382256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Gráficos!$K$61:$K$62</c:f>
              <c:strCache>
                <c:ptCount val="2"/>
                <c:pt idx="0">
                  <c:v>Dia 14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Gráficos!$J$63:$J$67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Gráficos!$K$63:$K$67</c:f>
              <c:numCache>
                <c:formatCode>0.00</c:formatCode>
                <c:ptCount val="5"/>
                <c:pt idx="0">
                  <c:v>5.22</c:v>
                </c:pt>
                <c:pt idx="1">
                  <c:v>26.1</c:v>
                </c:pt>
                <c:pt idx="2">
                  <c:v>40.200000000000003</c:v>
                </c:pt>
                <c:pt idx="3">
                  <c:v>49.6</c:v>
                </c:pt>
                <c:pt idx="4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E2-4136-B3F5-98152F661AFA}"/>
            </c:ext>
          </c:extLst>
        </c:ser>
        <c:ser>
          <c:idx val="1"/>
          <c:order val="1"/>
          <c:tx>
            <c:strRef>
              <c:f>Gráficos!$L$61:$L$62</c:f>
              <c:strCache>
                <c:ptCount val="2"/>
                <c:pt idx="0">
                  <c:v>Dia 14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Gráficos!$J$63:$J$67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Gráficos!$L$63:$L$67</c:f>
              <c:numCache>
                <c:formatCode>0.00</c:formatCode>
                <c:ptCount val="5"/>
                <c:pt idx="0">
                  <c:v>3.57</c:v>
                </c:pt>
                <c:pt idx="1">
                  <c:v>24.1</c:v>
                </c:pt>
                <c:pt idx="2">
                  <c:v>42.2</c:v>
                </c:pt>
                <c:pt idx="3">
                  <c:v>55.5</c:v>
                </c:pt>
                <c:pt idx="4">
                  <c:v>73.8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E2-4136-B3F5-98152F661AFA}"/>
            </c:ext>
          </c:extLst>
        </c:ser>
        <c:ser>
          <c:idx val="2"/>
          <c:order val="2"/>
          <c:tx>
            <c:strRef>
              <c:f>Gráficos!$M$61:$M$62</c:f>
              <c:strCache>
                <c:ptCount val="2"/>
                <c:pt idx="0">
                  <c:v>Dia 14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Gráficos!$J$63:$J$67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Gráficos!$M$63:$M$67</c:f>
              <c:numCache>
                <c:formatCode>0.00</c:formatCode>
                <c:ptCount val="5"/>
                <c:pt idx="0">
                  <c:v>4.8499999999999996</c:v>
                </c:pt>
                <c:pt idx="1">
                  <c:v>19.7</c:v>
                </c:pt>
                <c:pt idx="2">
                  <c:v>171</c:v>
                </c:pt>
                <c:pt idx="3">
                  <c:v>90.3</c:v>
                </c:pt>
                <c:pt idx="4">
                  <c:v>22.3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BE2-4136-B3F5-98152F661AFA}"/>
            </c:ext>
          </c:extLst>
        </c:ser>
        <c:ser>
          <c:idx val="3"/>
          <c:order val="3"/>
          <c:tx>
            <c:strRef>
              <c:f>Gráficos!$N$61:$N$62</c:f>
              <c:strCache>
                <c:ptCount val="2"/>
                <c:pt idx="0">
                  <c:v>Dia 14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Gráficos!$J$63:$J$67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Gráficos!$N$63:$N$67</c:f>
              <c:numCache>
                <c:formatCode>0.00</c:formatCode>
                <c:ptCount val="5"/>
                <c:pt idx="0">
                  <c:v>2.0099999999999998</c:v>
                </c:pt>
                <c:pt idx="1">
                  <c:v>32.200000000000003</c:v>
                </c:pt>
                <c:pt idx="2">
                  <c:v>98.9</c:v>
                </c:pt>
                <c:pt idx="3">
                  <c:v>132</c:v>
                </c:pt>
                <c:pt idx="4">
                  <c:v>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BE2-4136-B3F5-98152F661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0539095"/>
        <c:axId val="2144053360"/>
      </c:barChart>
      <c:catAx>
        <c:axId val="1610539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144053360"/>
        <c:crosses val="autoZero"/>
        <c:auto val="1"/>
        <c:lblAlgn val="ctr"/>
        <c:lblOffset val="100"/>
        <c:noMultiLvlLbl val="1"/>
      </c:catAx>
      <c:valAx>
        <c:axId val="2144053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105390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Gráficos!$K$69:$K$70</c:f>
              <c:strCache>
                <c:ptCount val="2"/>
                <c:pt idx="0">
                  <c:v>Dia 14</c:v>
                </c:pt>
                <c:pt idx="1">
                  <c:v>AI</c:v>
                </c:pt>
              </c:strCache>
            </c:strRef>
          </c:tx>
          <c:invertIfNegative val="1"/>
          <c:cat>
            <c:numRef>
              <c:f>Gráficos!$J$71:$J$75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Gráficos!$K$71:$K$75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494-4D9E-964B-ED257463AEBE}"/>
            </c:ext>
          </c:extLst>
        </c:ser>
        <c:ser>
          <c:idx val="1"/>
          <c:order val="1"/>
          <c:tx>
            <c:strRef>
              <c:f>Gráficos!$L$69:$L$70</c:f>
              <c:strCache>
                <c:ptCount val="2"/>
                <c:pt idx="0">
                  <c:v>Dia 14</c:v>
                </c:pt>
                <c:pt idx="1">
                  <c:v>A</c:v>
                </c:pt>
              </c:strCache>
            </c:strRef>
          </c:tx>
          <c:invertIfNegative val="1"/>
          <c:cat>
            <c:numRef>
              <c:f>Gráficos!$J$71:$J$75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Gráficos!$L$71:$L$75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494-4D9E-964B-ED257463AEBE}"/>
            </c:ext>
          </c:extLst>
        </c:ser>
        <c:ser>
          <c:idx val="2"/>
          <c:order val="2"/>
          <c:tx>
            <c:strRef>
              <c:f>Gráficos!$M$69:$M$70</c:f>
              <c:strCache>
                <c:ptCount val="2"/>
                <c:pt idx="0">
                  <c:v>Dia 14</c:v>
                </c:pt>
                <c:pt idx="1">
                  <c:v>I</c:v>
                </c:pt>
              </c:strCache>
            </c:strRef>
          </c:tx>
          <c:invertIfNegative val="1"/>
          <c:cat>
            <c:numRef>
              <c:f>Gráficos!$J$71:$J$75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Gráficos!$M$71:$M$75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C494-4D9E-964B-ED257463AEBE}"/>
            </c:ext>
          </c:extLst>
        </c:ser>
        <c:ser>
          <c:idx val="3"/>
          <c:order val="3"/>
          <c:tx>
            <c:strRef>
              <c:f>Gráficos!$N$69:$N$70</c:f>
              <c:strCache>
                <c:ptCount val="2"/>
                <c:pt idx="0">
                  <c:v>Dia 14</c:v>
                </c:pt>
                <c:pt idx="1">
                  <c:v>B</c:v>
                </c:pt>
              </c:strCache>
            </c:strRef>
          </c:tx>
          <c:invertIfNegative val="1"/>
          <c:cat>
            <c:numRef>
              <c:f>Gráficos!$J$71:$J$75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Gráficos!$N$71:$N$75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C494-4D9E-964B-ED257463A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107079"/>
        <c:axId val="783164745"/>
      </c:barChart>
      <c:catAx>
        <c:axId val="286107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83164745"/>
        <c:crosses val="autoZero"/>
        <c:auto val="1"/>
        <c:lblAlgn val="ctr"/>
        <c:lblOffset val="100"/>
        <c:noMultiLvlLbl val="1"/>
      </c:catAx>
      <c:valAx>
        <c:axId val="783164745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2861070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Gráficos!$K$77:$K$78</c:f>
              <c:strCache>
                <c:ptCount val="2"/>
                <c:pt idx="0">
                  <c:v>Dia 14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Gráficos!$J$79:$J$83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Gráficos!$K$79:$K$83</c:f>
              <c:numCache>
                <c:formatCode>0.00</c:formatCode>
                <c:ptCount val="5"/>
                <c:pt idx="0">
                  <c:v>0</c:v>
                </c:pt>
                <c:pt idx="1">
                  <c:v>1270</c:v>
                </c:pt>
                <c:pt idx="2">
                  <c:v>2260</c:v>
                </c:pt>
                <c:pt idx="3">
                  <c:v>3300</c:v>
                </c:pt>
                <c:pt idx="4">
                  <c:v>4160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35-4C6A-B1E5-80CCA7548453}"/>
            </c:ext>
          </c:extLst>
        </c:ser>
        <c:ser>
          <c:idx val="1"/>
          <c:order val="1"/>
          <c:tx>
            <c:strRef>
              <c:f>Gráficos!$L$77:$L$78</c:f>
              <c:strCache>
                <c:ptCount val="2"/>
                <c:pt idx="0">
                  <c:v>Dia 14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Gráficos!$J$79:$J$83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Gráficos!$L$79:$L$83</c:f>
              <c:numCache>
                <c:formatCode>0.00</c:formatCode>
                <c:ptCount val="5"/>
                <c:pt idx="0">
                  <c:v>0</c:v>
                </c:pt>
                <c:pt idx="1">
                  <c:v>990</c:v>
                </c:pt>
                <c:pt idx="2">
                  <c:v>2180</c:v>
                </c:pt>
                <c:pt idx="3">
                  <c:v>3520</c:v>
                </c:pt>
                <c:pt idx="4">
                  <c:v>4540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35-4C6A-B1E5-80CCA7548453}"/>
            </c:ext>
          </c:extLst>
        </c:ser>
        <c:ser>
          <c:idx val="2"/>
          <c:order val="2"/>
          <c:tx>
            <c:strRef>
              <c:f>Gráficos!$M$77:$M$78</c:f>
              <c:strCache>
                <c:ptCount val="2"/>
                <c:pt idx="0">
                  <c:v>Dia 14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Gráficos!$J$79:$J$83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Gráficos!$M$79:$M$83</c:f>
              <c:numCache>
                <c:formatCode>0.00</c:formatCode>
                <c:ptCount val="5"/>
                <c:pt idx="0">
                  <c:v>0</c:v>
                </c:pt>
                <c:pt idx="1">
                  <c:v>1540</c:v>
                </c:pt>
                <c:pt idx="2">
                  <c:v>2830</c:v>
                </c:pt>
                <c:pt idx="3">
                  <c:v>4380</c:v>
                </c:pt>
                <c:pt idx="4">
                  <c:v>7800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B35-4C6A-B1E5-80CCA7548453}"/>
            </c:ext>
          </c:extLst>
        </c:ser>
        <c:ser>
          <c:idx val="3"/>
          <c:order val="3"/>
          <c:tx>
            <c:strRef>
              <c:f>Gráficos!$N$77:$N$78</c:f>
              <c:strCache>
                <c:ptCount val="2"/>
                <c:pt idx="0">
                  <c:v>Dia 14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Gráficos!$J$79:$J$83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Gráficos!$N$79:$N$83</c:f>
              <c:numCache>
                <c:formatCode>0.00</c:formatCode>
                <c:ptCount val="5"/>
                <c:pt idx="0">
                  <c:v>0</c:v>
                </c:pt>
                <c:pt idx="1">
                  <c:v>1600</c:v>
                </c:pt>
                <c:pt idx="2">
                  <c:v>3900</c:v>
                </c:pt>
                <c:pt idx="3">
                  <c:v>6140</c:v>
                </c:pt>
                <c:pt idx="4">
                  <c:v>6020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B35-4C6A-B1E5-80CCA7548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341439"/>
        <c:axId val="834035559"/>
      </c:barChart>
      <c:catAx>
        <c:axId val="1663341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4035559"/>
        <c:crosses val="autoZero"/>
        <c:auto val="1"/>
        <c:lblAlgn val="ctr"/>
        <c:lblOffset val="100"/>
        <c:noMultiLvlLbl val="1"/>
      </c:catAx>
      <c:valAx>
        <c:axId val="834035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633414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Gráficos!$K$85:$K$86</c:f>
              <c:strCache>
                <c:ptCount val="2"/>
                <c:pt idx="0">
                  <c:v>Dia 14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Gráficos!$J$87:$J$91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Gráficos!$K$87:$K$91</c:f>
              <c:numCache>
                <c:formatCode>0.00</c:formatCode>
                <c:ptCount val="5"/>
                <c:pt idx="0">
                  <c:v>35.191311999999996</c:v>
                </c:pt>
                <c:pt idx="1">
                  <c:v>468.37576999999999</c:v>
                </c:pt>
                <c:pt idx="2">
                  <c:v>989.49992999999995</c:v>
                </c:pt>
                <c:pt idx="3">
                  <c:v>1339.6302250000001</c:v>
                </c:pt>
                <c:pt idx="4">
                  <c:v>1828.1841249999998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79-421E-825E-BAF092EE36BB}"/>
            </c:ext>
          </c:extLst>
        </c:ser>
        <c:ser>
          <c:idx val="1"/>
          <c:order val="1"/>
          <c:tx>
            <c:strRef>
              <c:f>Gráficos!$L$85:$L$86</c:f>
              <c:strCache>
                <c:ptCount val="2"/>
                <c:pt idx="0">
                  <c:v>Dia 14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Gráficos!$J$87:$J$91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Gráficos!$L$87:$L$91</c:f>
              <c:numCache>
                <c:formatCode>0.00</c:formatCode>
                <c:ptCount val="5"/>
                <c:pt idx="0">
                  <c:v>7.0994627499999998</c:v>
                </c:pt>
                <c:pt idx="1">
                  <c:v>549.80142000000001</c:v>
                </c:pt>
                <c:pt idx="2">
                  <c:v>965.07223499999986</c:v>
                </c:pt>
                <c:pt idx="3">
                  <c:v>1388.4856149999998</c:v>
                </c:pt>
                <c:pt idx="4">
                  <c:v>2267.8826349999999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F79-421E-825E-BAF092EE36BB}"/>
            </c:ext>
          </c:extLst>
        </c:ser>
        <c:ser>
          <c:idx val="2"/>
          <c:order val="2"/>
          <c:tx>
            <c:strRef>
              <c:f>Gráficos!$M$85:$M$86</c:f>
              <c:strCache>
                <c:ptCount val="2"/>
                <c:pt idx="0">
                  <c:v>Dia 14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Gráficos!$J$87:$J$91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Gráficos!$M$87:$M$91</c:f>
              <c:numCache>
                <c:formatCode>0.00</c:formatCode>
                <c:ptCount val="5"/>
                <c:pt idx="0">
                  <c:v>53.919211500000003</c:v>
                </c:pt>
                <c:pt idx="1">
                  <c:v>635.29835249999996</c:v>
                </c:pt>
                <c:pt idx="2">
                  <c:v>1665.3328250000002</c:v>
                </c:pt>
                <c:pt idx="3">
                  <c:v>1339.6302250000001</c:v>
                </c:pt>
                <c:pt idx="4">
                  <c:v>2373.7359799999999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F79-421E-825E-BAF092EE36BB}"/>
            </c:ext>
          </c:extLst>
        </c:ser>
        <c:ser>
          <c:idx val="3"/>
          <c:order val="3"/>
          <c:tx>
            <c:strRef>
              <c:f>Gráficos!$N$85:$N$86</c:f>
              <c:strCache>
                <c:ptCount val="2"/>
                <c:pt idx="0">
                  <c:v>Dia 14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Gráficos!$J$87:$J$91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Gráficos!$N$87:$N$91</c:f>
              <c:numCache>
                <c:formatCode>0.00</c:formatCode>
                <c:ptCount val="5"/>
                <c:pt idx="0">
                  <c:v>9.9493605000000009</c:v>
                </c:pt>
                <c:pt idx="1">
                  <c:v>549.80142000000001</c:v>
                </c:pt>
                <c:pt idx="2">
                  <c:v>1347.77279</c:v>
                </c:pt>
                <c:pt idx="3">
                  <c:v>2251.5975050000002</c:v>
                </c:pt>
                <c:pt idx="4">
                  <c:v>1934.0374699999998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F79-421E-825E-BAF092EE3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947639"/>
        <c:axId val="794078816"/>
      </c:barChart>
      <c:catAx>
        <c:axId val="593947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94078816"/>
        <c:crosses val="autoZero"/>
        <c:auto val="1"/>
        <c:lblAlgn val="ctr"/>
        <c:lblOffset val="100"/>
        <c:noMultiLvlLbl val="1"/>
      </c:catAx>
      <c:valAx>
        <c:axId val="794078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939476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Gráficos!$C$61:$C$62</c:f>
              <c:strCache>
                <c:ptCount val="2"/>
                <c:pt idx="0">
                  <c:v>Dia 7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Gráficos!$B$63:$B$67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Gráficos!$C$63:$C$67</c:f>
              <c:numCache>
                <c:formatCode>0.00</c:formatCode>
                <c:ptCount val="5"/>
                <c:pt idx="0">
                  <c:v>8.67</c:v>
                </c:pt>
                <c:pt idx="1">
                  <c:v>24.4</c:v>
                </c:pt>
                <c:pt idx="2">
                  <c:v>36.299999999999997</c:v>
                </c:pt>
                <c:pt idx="3">
                  <c:v>47.6</c:v>
                </c:pt>
                <c:pt idx="4">
                  <c:v>56.5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A7-4971-BF41-C87806BF20C5}"/>
            </c:ext>
          </c:extLst>
        </c:ser>
        <c:ser>
          <c:idx val="1"/>
          <c:order val="1"/>
          <c:tx>
            <c:strRef>
              <c:f>Gráficos!$D$61:$D$62</c:f>
              <c:strCache>
                <c:ptCount val="2"/>
                <c:pt idx="0">
                  <c:v>Dia 7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Gráficos!$B$63:$B$67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Gráficos!$D$63:$D$67</c:f>
              <c:numCache>
                <c:formatCode>0.00</c:formatCode>
                <c:ptCount val="5"/>
                <c:pt idx="0">
                  <c:v>1.88</c:v>
                </c:pt>
                <c:pt idx="1">
                  <c:v>23.5</c:v>
                </c:pt>
                <c:pt idx="2">
                  <c:v>39.9</c:v>
                </c:pt>
                <c:pt idx="3">
                  <c:v>53.4</c:v>
                </c:pt>
                <c:pt idx="4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A7-4971-BF41-C87806BF20C5}"/>
            </c:ext>
          </c:extLst>
        </c:ser>
        <c:ser>
          <c:idx val="2"/>
          <c:order val="2"/>
          <c:tx>
            <c:strRef>
              <c:f>Gráficos!$E$61:$E$62</c:f>
              <c:strCache>
                <c:ptCount val="2"/>
                <c:pt idx="0">
                  <c:v>Dia 7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Gráficos!$B$63:$B$67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Gráficos!$E$63:$E$67</c:f>
              <c:numCache>
                <c:formatCode>0.00</c:formatCode>
                <c:ptCount val="5"/>
                <c:pt idx="0">
                  <c:v>8.67</c:v>
                </c:pt>
                <c:pt idx="1">
                  <c:v>46.6</c:v>
                </c:pt>
                <c:pt idx="2">
                  <c:v>83.4</c:v>
                </c:pt>
                <c:pt idx="3">
                  <c:v>72.099999999999994</c:v>
                </c:pt>
                <c:pt idx="4">
                  <c:v>184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5A7-4971-BF41-C87806BF20C5}"/>
            </c:ext>
          </c:extLst>
        </c:ser>
        <c:ser>
          <c:idx val="3"/>
          <c:order val="3"/>
          <c:tx>
            <c:strRef>
              <c:f>Gráficos!$F$61:$F$62</c:f>
              <c:strCache>
                <c:ptCount val="2"/>
                <c:pt idx="0">
                  <c:v>Dia 7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Gráficos!$B$63:$B$67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Gráficos!$F$63:$F$67</c:f>
              <c:numCache>
                <c:formatCode>0.00</c:formatCode>
                <c:ptCount val="5"/>
                <c:pt idx="0">
                  <c:v>1.88</c:v>
                </c:pt>
                <c:pt idx="1">
                  <c:v>38.700000000000003</c:v>
                </c:pt>
                <c:pt idx="2">
                  <c:v>84.3</c:v>
                </c:pt>
                <c:pt idx="3">
                  <c:v>95.3</c:v>
                </c:pt>
                <c:pt idx="4">
                  <c:v>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5A7-4971-BF41-C87806BF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0216807"/>
        <c:axId val="752829182"/>
      </c:barChart>
      <c:catAx>
        <c:axId val="1820216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52829182"/>
        <c:crosses val="autoZero"/>
        <c:auto val="1"/>
        <c:lblAlgn val="ctr"/>
        <c:lblOffset val="100"/>
        <c:noMultiLvlLbl val="1"/>
      </c:catAx>
      <c:valAx>
        <c:axId val="7528291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202168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Gráficos!$C$69:$C$70</c:f>
              <c:strCache>
                <c:ptCount val="2"/>
                <c:pt idx="0">
                  <c:v>Dia 7</c:v>
                </c:pt>
                <c:pt idx="1">
                  <c:v>AI</c:v>
                </c:pt>
              </c:strCache>
            </c:strRef>
          </c:tx>
          <c:invertIfNegative val="1"/>
          <c:cat>
            <c:numRef>
              <c:f>Gráficos!$B$71:$B$75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Gráficos!$C$71:$C$75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5AB9-4F10-A7F5-338A4999439A}"/>
            </c:ext>
          </c:extLst>
        </c:ser>
        <c:ser>
          <c:idx val="1"/>
          <c:order val="1"/>
          <c:tx>
            <c:strRef>
              <c:f>Gráficos!$D$69:$D$70</c:f>
              <c:strCache>
                <c:ptCount val="2"/>
                <c:pt idx="0">
                  <c:v>Dia 7</c:v>
                </c:pt>
                <c:pt idx="1">
                  <c:v>A</c:v>
                </c:pt>
              </c:strCache>
            </c:strRef>
          </c:tx>
          <c:invertIfNegative val="1"/>
          <c:cat>
            <c:numRef>
              <c:f>Gráficos!$B$71:$B$75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Gráficos!$D$71:$D$75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5AB9-4F10-A7F5-338A4999439A}"/>
            </c:ext>
          </c:extLst>
        </c:ser>
        <c:ser>
          <c:idx val="2"/>
          <c:order val="2"/>
          <c:tx>
            <c:strRef>
              <c:f>Gráficos!$E$69:$E$70</c:f>
              <c:strCache>
                <c:ptCount val="2"/>
                <c:pt idx="0">
                  <c:v>Dia 7</c:v>
                </c:pt>
                <c:pt idx="1">
                  <c:v>I</c:v>
                </c:pt>
              </c:strCache>
            </c:strRef>
          </c:tx>
          <c:invertIfNegative val="1"/>
          <c:cat>
            <c:numRef>
              <c:f>Gráficos!$B$71:$B$75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Gráficos!$E$71:$E$75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5AB9-4F10-A7F5-338A4999439A}"/>
            </c:ext>
          </c:extLst>
        </c:ser>
        <c:ser>
          <c:idx val="3"/>
          <c:order val="3"/>
          <c:tx>
            <c:strRef>
              <c:f>Gráficos!$F$69:$F$70</c:f>
              <c:strCache>
                <c:ptCount val="2"/>
                <c:pt idx="0">
                  <c:v>Dia 7</c:v>
                </c:pt>
                <c:pt idx="1">
                  <c:v>B</c:v>
                </c:pt>
              </c:strCache>
            </c:strRef>
          </c:tx>
          <c:invertIfNegative val="1"/>
          <c:cat>
            <c:numRef>
              <c:f>Gráficos!$B$71:$B$75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Gráficos!$F$71:$F$75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5AB9-4F10-A7F5-338A49994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788792"/>
        <c:axId val="1387537187"/>
      </c:barChart>
      <c:catAx>
        <c:axId val="63378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87537187"/>
        <c:crosses val="autoZero"/>
        <c:auto val="1"/>
        <c:lblAlgn val="ctr"/>
        <c:lblOffset val="100"/>
        <c:noMultiLvlLbl val="1"/>
      </c:catAx>
      <c:valAx>
        <c:axId val="1387537187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6337887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Gráficos!$C$77:$C$78</c:f>
              <c:strCache>
                <c:ptCount val="2"/>
                <c:pt idx="0">
                  <c:v>Dia 7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Gráficos!$B$79:$B$83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Gráficos!$C$79:$C$83</c:f>
              <c:numCache>
                <c:formatCode>0.00</c:formatCode>
                <c:ptCount val="5"/>
                <c:pt idx="0">
                  <c:v>96</c:v>
                </c:pt>
                <c:pt idx="1">
                  <c:v>535</c:v>
                </c:pt>
                <c:pt idx="2">
                  <c:v>2050</c:v>
                </c:pt>
                <c:pt idx="3">
                  <c:v>1620</c:v>
                </c:pt>
                <c:pt idx="4">
                  <c:v>2050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99-4879-AA36-F6AE0A8399D5}"/>
            </c:ext>
          </c:extLst>
        </c:ser>
        <c:ser>
          <c:idx val="1"/>
          <c:order val="1"/>
          <c:tx>
            <c:strRef>
              <c:f>Gráficos!$D$77:$D$78</c:f>
              <c:strCache>
                <c:ptCount val="2"/>
                <c:pt idx="0">
                  <c:v>Dia 7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Gráficos!$B$79:$B$83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Gráficos!$D$79:$D$83</c:f>
              <c:numCache>
                <c:formatCode>0.00</c:formatCode>
                <c:ptCount val="5"/>
                <c:pt idx="0">
                  <c:v>17</c:v>
                </c:pt>
                <c:pt idx="1">
                  <c:v>490</c:v>
                </c:pt>
                <c:pt idx="2">
                  <c:v>2120</c:v>
                </c:pt>
                <c:pt idx="3">
                  <c:v>1720</c:v>
                </c:pt>
                <c:pt idx="4">
                  <c:v>2110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899-4879-AA36-F6AE0A8399D5}"/>
            </c:ext>
          </c:extLst>
        </c:ser>
        <c:ser>
          <c:idx val="2"/>
          <c:order val="2"/>
          <c:tx>
            <c:strRef>
              <c:f>Gráficos!$E$77:$E$78</c:f>
              <c:strCache>
                <c:ptCount val="2"/>
                <c:pt idx="0">
                  <c:v>Dia 7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Gráficos!$B$79:$B$83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Gráficos!$E$79:$E$83</c:f>
              <c:numCache>
                <c:formatCode>0.00</c:formatCode>
                <c:ptCount val="5"/>
                <c:pt idx="0">
                  <c:v>96</c:v>
                </c:pt>
                <c:pt idx="1">
                  <c:v>885</c:v>
                </c:pt>
                <c:pt idx="2">
                  <c:v>3640</c:v>
                </c:pt>
                <c:pt idx="3">
                  <c:v>2070</c:v>
                </c:pt>
                <c:pt idx="4">
                  <c:v>6940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99-4879-AA36-F6AE0A8399D5}"/>
            </c:ext>
          </c:extLst>
        </c:ser>
        <c:ser>
          <c:idx val="3"/>
          <c:order val="3"/>
          <c:tx>
            <c:strRef>
              <c:f>Gráficos!$F$77:$F$78</c:f>
              <c:strCache>
                <c:ptCount val="2"/>
                <c:pt idx="0">
                  <c:v>Dia 7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Gráficos!$B$79:$B$83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Gráficos!$F$79:$F$83</c:f>
              <c:numCache>
                <c:formatCode>0.00</c:formatCode>
                <c:ptCount val="5"/>
                <c:pt idx="0">
                  <c:v>17</c:v>
                </c:pt>
                <c:pt idx="1">
                  <c:v>820</c:v>
                </c:pt>
                <c:pt idx="2">
                  <c:v>3800</c:v>
                </c:pt>
                <c:pt idx="3">
                  <c:v>2780</c:v>
                </c:pt>
                <c:pt idx="4">
                  <c:v>2890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899-4879-AA36-F6AE0A839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154555"/>
        <c:axId val="1676765613"/>
      </c:barChart>
      <c:catAx>
        <c:axId val="231154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76765613"/>
        <c:crosses val="autoZero"/>
        <c:auto val="1"/>
        <c:lblAlgn val="ctr"/>
        <c:lblOffset val="100"/>
        <c:noMultiLvlLbl val="1"/>
      </c:catAx>
      <c:valAx>
        <c:axId val="1676765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311545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Gráficos!$C$85:$C$86</c:f>
              <c:strCache>
                <c:ptCount val="2"/>
                <c:pt idx="0">
                  <c:v>Dia 7</c:v>
                </c:pt>
                <c:pt idx="1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Gráficos!$B$87:$B$91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Gráficos!$C$87:$C$91</c:f>
              <c:numCache>
                <c:formatCode>0.00</c:formatCode>
                <c:ptCount val="5"/>
                <c:pt idx="0">
                  <c:v>40.076850999999998</c:v>
                </c:pt>
                <c:pt idx="1">
                  <c:v>407.3065325</c:v>
                </c:pt>
                <c:pt idx="2">
                  <c:v>961.00095249999993</c:v>
                </c:pt>
                <c:pt idx="3">
                  <c:v>614.94193999999993</c:v>
                </c:pt>
                <c:pt idx="4">
                  <c:v>822.57734750000009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3A-4E71-92CB-FF347720EB8F}"/>
            </c:ext>
          </c:extLst>
        </c:ser>
        <c:ser>
          <c:idx val="1"/>
          <c:order val="1"/>
          <c:tx>
            <c:strRef>
              <c:f>Gráficos!$D$85:$D$86</c:f>
              <c:strCache>
                <c:ptCount val="2"/>
                <c:pt idx="0">
                  <c:v>Dia 7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Gráficos!$B$87:$B$91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Gráficos!$D$87:$D$91</c:f>
              <c:numCache>
                <c:formatCode>0.00</c:formatCode>
                <c:ptCount val="5"/>
                <c:pt idx="0">
                  <c:v>9.5422322500000014</c:v>
                </c:pt>
                <c:pt idx="1">
                  <c:v>364.55806625000002</c:v>
                </c:pt>
                <c:pt idx="2">
                  <c:v>838.86247749999984</c:v>
                </c:pt>
                <c:pt idx="3">
                  <c:v>631.22706999999991</c:v>
                </c:pt>
                <c:pt idx="4">
                  <c:v>798.1496525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3A-4E71-92CB-FF347720EB8F}"/>
            </c:ext>
          </c:extLst>
        </c:ser>
        <c:ser>
          <c:idx val="2"/>
          <c:order val="2"/>
          <c:tx>
            <c:strRef>
              <c:f>Gráficos!$E$85:$E$86</c:f>
              <c:strCache>
                <c:ptCount val="2"/>
                <c:pt idx="0">
                  <c:v>Dia 7</c:v>
                </c:pt>
                <c:pt idx="1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Gráficos!$B$87:$B$91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Gráficos!$E$87:$E$91</c:f>
              <c:numCache>
                <c:formatCode>0.00</c:formatCode>
                <c:ptCount val="5"/>
                <c:pt idx="0">
                  <c:v>44.555261749999993</c:v>
                </c:pt>
                <c:pt idx="1">
                  <c:v>535.55193125000005</c:v>
                </c:pt>
                <c:pt idx="2">
                  <c:v>1140.1373825000001</c:v>
                </c:pt>
                <c:pt idx="3">
                  <c:v>655.654765</c:v>
                </c:pt>
                <c:pt idx="4">
                  <c:v>1209.3491849999998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03A-4E71-92CB-FF347720EB8F}"/>
            </c:ext>
          </c:extLst>
        </c:ser>
        <c:ser>
          <c:idx val="3"/>
          <c:order val="3"/>
          <c:tx>
            <c:strRef>
              <c:f>Gráficos!$F$85:$F$86</c:f>
              <c:strCache>
                <c:ptCount val="2"/>
                <c:pt idx="0">
                  <c:v>Dia 7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Gráficos!$B$87:$B$91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Gráficos!$F$87:$F$91</c:f>
              <c:numCache>
                <c:formatCode>0.00</c:formatCode>
                <c:ptCount val="5"/>
                <c:pt idx="0">
                  <c:v>15.649155999999998</c:v>
                </c:pt>
                <c:pt idx="1">
                  <c:v>513.15987749999999</c:v>
                </c:pt>
                <c:pt idx="2">
                  <c:v>1217.4917499999999</c:v>
                </c:pt>
                <c:pt idx="3">
                  <c:v>1050.5691674999998</c:v>
                </c:pt>
                <c:pt idx="4">
                  <c:v>1046.497885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03A-4E71-92CB-FF347720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850585"/>
        <c:axId val="1812954604"/>
      </c:barChart>
      <c:catAx>
        <c:axId val="1709850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DQO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12954604"/>
        <c:crosses val="autoZero"/>
        <c:auto val="1"/>
        <c:lblAlgn val="ctr"/>
        <c:lblOffset val="100"/>
        <c:noMultiLvlLbl val="1"/>
      </c:catAx>
      <c:valAx>
        <c:axId val="18129546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098505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Degradação de DQO</a:t>
            </a:r>
          </a:p>
        </c:rich>
      </c:tx>
      <c:layout>
        <c:manualLayout>
          <c:xMode val="edge"/>
          <c:yMode val="edge"/>
          <c:x val="3.0916666666666669E-2"/>
          <c:y val="4.730458221024259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Gráficos!$C$44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Gráficos!$B$45:$B$49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Gráficos!$C$45:$C$49</c:f>
              <c:numCache>
                <c:formatCode>0.00</c:formatCode>
                <c:ptCount val="5"/>
                <c:pt idx="0">
                  <c:v>1003.9638325199074</c:v>
                </c:pt>
                <c:pt idx="1">
                  <c:v>-10.572471430548976</c:v>
                </c:pt>
                <c:pt idx="2">
                  <c:v>-1.2497719673604304</c:v>
                </c:pt>
                <c:pt idx="3">
                  <c:v>0</c:v>
                </c:pt>
                <c:pt idx="4">
                  <c:v>-15.422428400830984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5A-4185-8831-9C0B02F8F095}"/>
            </c:ext>
          </c:extLst>
        </c:ser>
        <c:ser>
          <c:idx val="1"/>
          <c:order val="1"/>
          <c:tx>
            <c:strRef>
              <c:f>Gráficos!$D$44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Gráficos!$B$45:$B$49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Gráficos!$D$45:$D$49</c:f>
              <c:numCache>
                <c:formatCode>0.00</c:formatCode>
                <c:ptCount val="5"/>
                <c:pt idx="0">
                  <c:v>282.36482789622397</c:v>
                </c:pt>
                <c:pt idx="1">
                  <c:v>-29.795146758819868</c:v>
                </c:pt>
                <c:pt idx="2">
                  <c:v>1.2497719673604535</c:v>
                </c:pt>
                <c:pt idx="3">
                  <c:v>-3.6469310029190862</c:v>
                </c:pt>
                <c:pt idx="4">
                  <c:v>-43.182799522326796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35A-4185-8831-9C0B02F8F095}"/>
            </c:ext>
          </c:extLst>
        </c:ser>
        <c:ser>
          <c:idx val="2"/>
          <c:order val="2"/>
          <c:tx>
            <c:strRef>
              <c:f>Gráficos!$E$44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Gráficos!$B$45:$B$49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Gráficos!$E$45:$E$49</c:f>
              <c:numCache>
                <c:formatCode>0.00</c:formatCode>
                <c:ptCount val="5"/>
                <c:pt idx="0">
                  <c:v>1485.0298356023634</c:v>
                </c:pt>
                <c:pt idx="1">
                  <c:v>-27.337166518363077</c:v>
                </c:pt>
                <c:pt idx="2">
                  <c:v>-65.575418767902576</c:v>
                </c:pt>
                <c:pt idx="3">
                  <c:v>39.629843301000122</c:v>
                </c:pt>
                <c:pt idx="4">
                  <c:v>2.3448866278324219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35A-4185-8831-9C0B02F8F095}"/>
            </c:ext>
          </c:extLst>
        </c:ser>
        <c:ser>
          <c:idx val="3"/>
          <c:order val="3"/>
          <c:tx>
            <c:strRef>
              <c:f>Gráficos!$F$44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Gráficos!$B$45:$B$49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Gráficos!$F$45:$F$49</c:f>
              <c:numCache>
                <c:formatCode>0.00</c:formatCode>
                <c:ptCount val="5"/>
                <c:pt idx="0">
                  <c:v>355.57052401746733</c:v>
                </c:pt>
                <c:pt idx="1">
                  <c:v>-10.200435268045938</c:v>
                </c:pt>
                <c:pt idx="2">
                  <c:v>-34.002068990764293</c:v>
                </c:pt>
                <c:pt idx="3">
                  <c:v>-1.4677719741111137</c:v>
                </c:pt>
                <c:pt idx="4">
                  <c:v>20.434012042539738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35A-4185-8831-9C0B02F8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4523494"/>
        <c:axId val="1888385224"/>
      </c:barChart>
      <c:catAx>
        <c:axId val="1954523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88385224"/>
        <c:crosses val="autoZero"/>
        <c:auto val="1"/>
        <c:lblAlgn val="ctr"/>
        <c:lblOffset val="100"/>
        <c:noMultiLvlLbl val="1"/>
      </c:catAx>
      <c:valAx>
        <c:axId val="1888385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545234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Gráficos!$I$4:$I$8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Gráficos!$J$4:$J$8</c:f>
              <c:numCache>
                <c:formatCode>0.00</c:formatCode>
                <c:ptCount val="5"/>
                <c:pt idx="0">
                  <c:v>8.1199999999999992</c:v>
                </c:pt>
                <c:pt idx="1">
                  <c:v>9.68</c:v>
                </c:pt>
                <c:pt idx="2">
                  <c:v>9.57</c:v>
                </c:pt>
                <c:pt idx="3">
                  <c:v>9.5</c:v>
                </c:pt>
                <c:pt idx="4">
                  <c:v>9.4600000000000009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1F-40C3-B34F-95BE7CBAAD5D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Gráficos!$I$4:$I$8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Gráficos!$K$2:$K$8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7.77</c:v>
                </c:pt>
                <c:pt idx="3" formatCode="0.00">
                  <c:v>8.98</c:v>
                </c:pt>
                <c:pt idx="4" formatCode="0.00">
                  <c:v>9.1</c:v>
                </c:pt>
                <c:pt idx="5" formatCode="0.00">
                  <c:v>9.1300000000000008</c:v>
                </c:pt>
                <c:pt idx="6" formatCode="0.00">
                  <c:v>9.16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1F-40C3-B34F-95BE7CBAAD5D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Gráficos!$I$4:$I$8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Gráficos!$L$2:$L$8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9.25</c:v>
                </c:pt>
                <c:pt idx="3" formatCode="0.00">
                  <c:v>9.19</c:v>
                </c:pt>
                <c:pt idx="4" formatCode="0.00">
                  <c:v>9.1999999999999993</c:v>
                </c:pt>
                <c:pt idx="5" formatCode="0.00">
                  <c:v>9.27</c:v>
                </c:pt>
                <c:pt idx="6" formatCode="0.00">
                  <c:v>9.34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B1F-40C3-B34F-95BE7CBAA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716086"/>
        <c:axId val="2006768775"/>
      </c:barChart>
      <c:catAx>
        <c:axId val="533716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06768775"/>
        <c:crosses val="autoZero"/>
        <c:auto val="1"/>
        <c:lblAlgn val="ctr"/>
        <c:lblOffset val="100"/>
        <c:noMultiLvlLbl val="1"/>
      </c:catAx>
      <c:valAx>
        <c:axId val="2006768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337160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Gráficos!$I$12:$I$16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Gráficos!$J$12:$J$16</c:f>
              <c:numCache>
                <c:formatCode>0.00</c:formatCode>
                <c:ptCount val="5"/>
                <c:pt idx="0">
                  <c:v>0</c:v>
                </c:pt>
                <c:pt idx="1">
                  <c:v>21.8</c:v>
                </c:pt>
                <c:pt idx="2">
                  <c:v>32.200000000000003</c:v>
                </c:pt>
                <c:pt idx="3">
                  <c:v>40.299999999999997</c:v>
                </c:pt>
                <c:pt idx="4">
                  <c:v>46.5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36-4AE9-81BB-39C003FCD650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Gráficos!$I$12:$I$16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Gráficos!$K$10:$K$16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1.88</c:v>
                </c:pt>
                <c:pt idx="3" formatCode="0.00">
                  <c:v>23.5</c:v>
                </c:pt>
                <c:pt idx="4" formatCode="0.00">
                  <c:v>39.9</c:v>
                </c:pt>
                <c:pt idx="5" formatCode="0.00">
                  <c:v>53.4</c:v>
                </c:pt>
                <c:pt idx="6" formatCode="0.00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E36-4AE9-81BB-39C003FCD650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Gráficos!$I$12:$I$16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Gráficos!$L$10:$L$16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3.57</c:v>
                </c:pt>
                <c:pt idx="3" formatCode="0.00">
                  <c:v>24.1</c:v>
                </c:pt>
                <c:pt idx="4" formatCode="0.00">
                  <c:v>42.2</c:v>
                </c:pt>
                <c:pt idx="5" formatCode="0.00">
                  <c:v>55.5</c:v>
                </c:pt>
                <c:pt idx="6" formatCode="0.00">
                  <c:v>73.8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E36-4AE9-81BB-39C003FC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627317"/>
        <c:axId val="334976394"/>
      </c:barChart>
      <c:catAx>
        <c:axId val="2048627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34976394"/>
        <c:crosses val="autoZero"/>
        <c:auto val="1"/>
        <c:lblAlgn val="ctr"/>
        <c:lblOffset val="100"/>
        <c:noMultiLvlLbl val="1"/>
      </c:catAx>
      <c:valAx>
        <c:axId val="334976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486273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Gráficos!$I$28:$I$32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Gráficos!$J$28:$J$32</c:f>
              <c:numCache>
                <c:formatCode>0.00</c:formatCode>
                <c:ptCount val="5"/>
                <c:pt idx="0">
                  <c:v>0</c:v>
                </c:pt>
                <c:pt idx="1">
                  <c:v>1260</c:v>
                </c:pt>
                <c:pt idx="2">
                  <c:v>2440</c:v>
                </c:pt>
                <c:pt idx="3">
                  <c:v>3740</c:v>
                </c:pt>
                <c:pt idx="4">
                  <c:v>4920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D9-44F0-B0DE-218396E54423}"/>
            </c:ext>
          </c:extLst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Gráficos!$I$28:$I$32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Gráficos!$K$26:$K$32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17</c:v>
                </c:pt>
                <c:pt idx="3" formatCode="0.00">
                  <c:v>490</c:v>
                </c:pt>
                <c:pt idx="4" formatCode="0.00">
                  <c:v>2120</c:v>
                </c:pt>
                <c:pt idx="5" formatCode="0.00">
                  <c:v>1720</c:v>
                </c:pt>
                <c:pt idx="6" formatCode="0.00">
                  <c:v>2110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D9-44F0-B0DE-218396E54423}"/>
            </c:ext>
          </c:extLst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Gráficos!$I$28:$I$32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Gráficos!$L$26:$L$32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0</c:v>
                </c:pt>
                <c:pt idx="3" formatCode="0.00">
                  <c:v>990</c:v>
                </c:pt>
                <c:pt idx="4" formatCode="0.00">
                  <c:v>2180</c:v>
                </c:pt>
                <c:pt idx="5" formatCode="0.00">
                  <c:v>3520</c:v>
                </c:pt>
                <c:pt idx="6" formatCode="0.00">
                  <c:v>4540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D9-44F0-B0DE-218396E5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768074"/>
        <c:axId val="1625289663"/>
      </c:barChart>
      <c:catAx>
        <c:axId val="1555768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25289663"/>
        <c:crosses val="autoZero"/>
        <c:auto val="1"/>
        <c:lblAlgn val="ctr"/>
        <c:lblOffset val="100"/>
        <c:noMultiLvlLbl val="1"/>
      </c:catAx>
      <c:valAx>
        <c:axId val="1625289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557680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Gráficos!$Q$4:$Q$8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Gráficos!$R$4:$R$8</c:f>
              <c:numCache>
                <c:formatCode>0.00</c:formatCode>
                <c:ptCount val="5"/>
                <c:pt idx="0">
                  <c:v>8.1199999999999992</c:v>
                </c:pt>
                <c:pt idx="1">
                  <c:v>8.07</c:v>
                </c:pt>
                <c:pt idx="2">
                  <c:v>8.01</c:v>
                </c:pt>
                <c:pt idx="3">
                  <c:v>7.91</c:v>
                </c:pt>
                <c:pt idx="4">
                  <c:v>7.91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00-4C24-B465-87FEB359C16D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Gráficos!$Q$4:$Q$8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Gráficos!$S$2:$S$8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7.85</c:v>
                </c:pt>
                <c:pt idx="3" formatCode="0.00">
                  <c:v>8.9700000000000006</c:v>
                </c:pt>
                <c:pt idx="4" formatCode="0.00">
                  <c:v>9.02</c:v>
                </c:pt>
                <c:pt idx="5" formatCode="0.00">
                  <c:v>9.01</c:v>
                </c:pt>
                <c:pt idx="6" formatCode="0.00">
                  <c:v>8.9600000000000009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000-4C24-B465-87FEB359C16D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Gráficos!$Q$4:$Q$8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Gráficos!$T$2:$T$8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8.5500000000000007</c:v>
                </c:pt>
                <c:pt idx="3" formatCode="0.00">
                  <c:v>9.18</c:v>
                </c:pt>
                <c:pt idx="4" formatCode="0.00">
                  <c:v>8.9499999999999993</c:v>
                </c:pt>
                <c:pt idx="5" formatCode="0.00">
                  <c:v>9.3000000000000007</c:v>
                </c:pt>
                <c:pt idx="6" formatCode="0.00">
                  <c:v>9.2899999999999991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000-4C24-B465-87FEB359C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4407780"/>
        <c:axId val="1985453869"/>
      </c:barChart>
      <c:catAx>
        <c:axId val="834407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85453869"/>
        <c:crosses val="autoZero"/>
        <c:auto val="1"/>
        <c:lblAlgn val="ctr"/>
        <c:lblOffset val="100"/>
        <c:noMultiLvlLbl val="1"/>
      </c:catAx>
      <c:valAx>
        <c:axId val="19854538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44077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Gráficos!$Q$12:$Q$16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Gráficos!$R$12:$R$16</c:f>
              <c:numCache>
                <c:formatCode>0.00</c:formatCode>
                <c:ptCount val="5"/>
                <c:pt idx="0">
                  <c:v>0</c:v>
                </c:pt>
                <c:pt idx="1">
                  <c:v>22.9</c:v>
                </c:pt>
                <c:pt idx="2">
                  <c:v>39.9</c:v>
                </c:pt>
                <c:pt idx="3">
                  <c:v>142</c:v>
                </c:pt>
                <c:pt idx="4">
                  <c:v>233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DB-4B77-9D7B-81B56A7E2D9C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Gráficos!$Q$12:$Q$16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Gráficos!$S$10:$S$16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8.67</c:v>
                </c:pt>
                <c:pt idx="3" formatCode="0.00">
                  <c:v>46.6</c:v>
                </c:pt>
                <c:pt idx="4" formatCode="0.00">
                  <c:v>83.4</c:v>
                </c:pt>
                <c:pt idx="5" formatCode="0.00">
                  <c:v>72.099999999999994</c:v>
                </c:pt>
                <c:pt idx="6" formatCode="0.00">
                  <c:v>184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DDB-4B77-9D7B-81B56A7E2D9C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Gráficos!$Q$12:$Q$16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Gráficos!$T$10:$T$16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4.8499999999999996</c:v>
                </c:pt>
                <c:pt idx="3" formatCode="0.00">
                  <c:v>19.7</c:v>
                </c:pt>
                <c:pt idx="4" formatCode="0.00">
                  <c:v>171</c:v>
                </c:pt>
                <c:pt idx="5" formatCode="0.00">
                  <c:v>90.3</c:v>
                </c:pt>
                <c:pt idx="6" formatCode="0.00">
                  <c:v>22.3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DDB-4B77-9D7B-81B56A7E2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1262998"/>
        <c:axId val="1938780887"/>
      </c:barChart>
      <c:catAx>
        <c:axId val="1371262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38780887"/>
        <c:crosses val="autoZero"/>
        <c:auto val="1"/>
        <c:lblAlgn val="ctr"/>
        <c:lblOffset val="100"/>
        <c:noMultiLvlLbl val="1"/>
      </c:catAx>
      <c:valAx>
        <c:axId val="1938780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712629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Gráficos!$Q$28:$Q$32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Gráficos!$R$28:$R$32</c:f>
              <c:numCache>
                <c:formatCode>0.00</c:formatCode>
                <c:ptCount val="5"/>
                <c:pt idx="0">
                  <c:v>0</c:v>
                </c:pt>
                <c:pt idx="1">
                  <c:v>1280</c:v>
                </c:pt>
                <c:pt idx="2">
                  <c:v>2370</c:v>
                </c:pt>
                <c:pt idx="3">
                  <c:v>5360</c:v>
                </c:pt>
                <c:pt idx="4">
                  <c:v>6520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08-413F-986A-D98803DF0653}"/>
            </c:ext>
          </c:extLst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Gráficos!$Q$28:$Q$32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Gráficos!$S$26:$S$32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96</c:v>
                </c:pt>
                <c:pt idx="3" formatCode="0.00">
                  <c:v>885</c:v>
                </c:pt>
                <c:pt idx="4" formatCode="0.00">
                  <c:v>3640</c:v>
                </c:pt>
                <c:pt idx="5" formatCode="0.00">
                  <c:v>2070</c:v>
                </c:pt>
                <c:pt idx="6" formatCode="0.00">
                  <c:v>6940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D08-413F-986A-D98803DF0653}"/>
            </c:ext>
          </c:extLst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Gráficos!$Q$28:$Q$32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Gráficos!$T$26:$T$32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0</c:v>
                </c:pt>
                <c:pt idx="3" formatCode="0.00">
                  <c:v>1540</c:v>
                </c:pt>
                <c:pt idx="4" formatCode="0.00">
                  <c:v>2830</c:v>
                </c:pt>
                <c:pt idx="5" formatCode="0.00">
                  <c:v>4380</c:v>
                </c:pt>
                <c:pt idx="6" formatCode="0.00">
                  <c:v>7800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D08-413F-986A-D98803DF0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941045"/>
        <c:axId val="1156721413"/>
      </c:barChart>
      <c:catAx>
        <c:axId val="835941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6721413"/>
        <c:crosses val="autoZero"/>
        <c:auto val="1"/>
        <c:lblAlgn val="ctr"/>
        <c:lblOffset val="100"/>
        <c:noMultiLvlLbl val="1"/>
      </c:catAx>
      <c:valAx>
        <c:axId val="1156721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59410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Gráficos!$Y$4:$Y$8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Gráficos!$Z$4:$Z$8</c:f>
              <c:numCache>
                <c:formatCode>0.00</c:formatCode>
                <c:ptCount val="5"/>
                <c:pt idx="0">
                  <c:v>8.1199999999999992</c:v>
                </c:pt>
                <c:pt idx="1">
                  <c:v>8.07</c:v>
                </c:pt>
                <c:pt idx="2">
                  <c:v>8.01</c:v>
                </c:pt>
                <c:pt idx="3">
                  <c:v>7.91</c:v>
                </c:pt>
                <c:pt idx="4">
                  <c:v>7.91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FC-4852-BA71-000F691B8C22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Gráficos!$Y$4:$Y$8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Gráficos!$AA$2:$AA$8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7.77</c:v>
                </c:pt>
                <c:pt idx="3" formatCode="0.00">
                  <c:v>0</c:v>
                </c:pt>
                <c:pt idx="4" formatCode="0.00">
                  <c:v>9.02</c:v>
                </c:pt>
                <c:pt idx="5" formatCode="0.00">
                  <c:v>9.01</c:v>
                </c:pt>
                <c:pt idx="6" formatCode="0.00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DFC-4852-BA71-000F691B8C22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Gráficos!$Y$4:$Y$8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Gráficos!$AB$2:$AB$8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8.69</c:v>
                </c:pt>
                <c:pt idx="3" formatCode="0.00">
                  <c:v>9.2100000000000009</c:v>
                </c:pt>
                <c:pt idx="4" formatCode="0.00">
                  <c:v>9.19</c:v>
                </c:pt>
                <c:pt idx="5" formatCode="0.00">
                  <c:v>9.2899999999999991</c:v>
                </c:pt>
                <c:pt idx="6" formatCode="0.00">
                  <c:v>9.2799999999999994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DFC-4852-BA71-000F691B8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563331"/>
        <c:axId val="1015851242"/>
      </c:barChart>
      <c:catAx>
        <c:axId val="443563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15851242"/>
        <c:crosses val="autoZero"/>
        <c:auto val="1"/>
        <c:lblAlgn val="ctr"/>
        <c:lblOffset val="100"/>
        <c:noMultiLvlLbl val="1"/>
      </c:catAx>
      <c:valAx>
        <c:axId val="10158512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435633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Gráficos!$Y$12:$Y$16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Gráficos!$Z$12:$Z$16</c:f>
              <c:numCache>
                <c:formatCode>0.00</c:formatCode>
                <c:ptCount val="5"/>
                <c:pt idx="0">
                  <c:v>0</c:v>
                </c:pt>
                <c:pt idx="1">
                  <c:v>22.9</c:v>
                </c:pt>
                <c:pt idx="2">
                  <c:v>39.9</c:v>
                </c:pt>
                <c:pt idx="3">
                  <c:v>142</c:v>
                </c:pt>
                <c:pt idx="4">
                  <c:v>233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A3-408A-988B-DCA99CD8F88A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Gráficos!$Y$12:$Y$16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Gráficos!$AA$10:$AA$16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1.88</c:v>
                </c:pt>
                <c:pt idx="3" formatCode="0.00">
                  <c:v>38.700000000000003</c:v>
                </c:pt>
                <c:pt idx="4" formatCode="0.00">
                  <c:v>84.3</c:v>
                </c:pt>
                <c:pt idx="5" formatCode="0.00">
                  <c:v>95.3</c:v>
                </c:pt>
                <c:pt idx="6" formatCode="0.00">
                  <c:v>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CA3-408A-988B-DCA99CD8F88A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Gráficos!$Y$12:$Y$16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Gráficos!$AB$10:$AB$16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2.0099999999999998</c:v>
                </c:pt>
                <c:pt idx="3" formatCode="0.00">
                  <c:v>32.200000000000003</c:v>
                </c:pt>
                <c:pt idx="4" formatCode="0.00">
                  <c:v>98.9</c:v>
                </c:pt>
                <c:pt idx="5" formatCode="0.00">
                  <c:v>132</c:v>
                </c:pt>
                <c:pt idx="6" formatCode="0.00">
                  <c:v>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CA3-408A-988B-DCA99CD8F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227234"/>
        <c:axId val="654055823"/>
      </c:barChart>
      <c:catAx>
        <c:axId val="1874227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54055823"/>
        <c:crosses val="autoZero"/>
        <c:auto val="1"/>
        <c:lblAlgn val="ctr"/>
        <c:lblOffset val="100"/>
        <c:noMultiLvlLbl val="1"/>
      </c:catAx>
      <c:valAx>
        <c:axId val="654055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742272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Gráficos!$Y$28:$Y$32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Gráficos!$Z$28:$Z$32</c:f>
              <c:numCache>
                <c:formatCode>0.00</c:formatCode>
                <c:ptCount val="5"/>
                <c:pt idx="0">
                  <c:v>0</c:v>
                </c:pt>
                <c:pt idx="1">
                  <c:v>1280</c:v>
                </c:pt>
                <c:pt idx="2">
                  <c:v>2370</c:v>
                </c:pt>
                <c:pt idx="3">
                  <c:v>5360</c:v>
                </c:pt>
                <c:pt idx="4">
                  <c:v>6520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DA-4F34-BEBB-6A1260181849}"/>
            </c:ext>
          </c:extLst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Gráficos!$Y$28:$Y$32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Gráficos!$AA$26:$AA$32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17</c:v>
                </c:pt>
                <c:pt idx="3" formatCode="0.00">
                  <c:v>820</c:v>
                </c:pt>
                <c:pt idx="4" formatCode="0.00">
                  <c:v>3800</c:v>
                </c:pt>
                <c:pt idx="5" formatCode="0.00">
                  <c:v>2780</c:v>
                </c:pt>
                <c:pt idx="6" formatCode="0.00">
                  <c:v>2890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DA-4F34-BEBB-6A1260181849}"/>
            </c:ext>
          </c:extLst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Gráficos!$Y$28:$Y$32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 formatCode="0">
                  <c:v>100</c:v>
                </c:pt>
              </c:numCache>
            </c:numRef>
          </c:cat>
          <c:val>
            <c:numRef>
              <c:f>Gráficos!$AB$26:$AB$32</c:f>
              <c:numCache>
                <c:formatCode>General</c:formatCode>
                <c:ptCount val="7"/>
                <c:pt idx="0" formatCode="0.00">
                  <c:v>0</c:v>
                </c:pt>
                <c:pt idx="2" formatCode="0.00">
                  <c:v>0</c:v>
                </c:pt>
                <c:pt idx="3" formatCode="0.00">
                  <c:v>1600</c:v>
                </c:pt>
                <c:pt idx="4" formatCode="0.00">
                  <c:v>3900</c:v>
                </c:pt>
                <c:pt idx="5" formatCode="0.00">
                  <c:v>6140</c:v>
                </c:pt>
                <c:pt idx="6" formatCode="0.00">
                  <c:v>6020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BDA-4F34-BEBB-6A1260181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67288"/>
        <c:axId val="929705791"/>
      </c:barChart>
      <c:catAx>
        <c:axId val="35967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29705791"/>
        <c:crosses val="autoZero"/>
        <c:auto val="1"/>
        <c:lblAlgn val="ctr"/>
        <c:lblOffset val="100"/>
        <c:noMultiLvlLbl val="1"/>
      </c:catAx>
      <c:valAx>
        <c:axId val="929705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59672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</xdr:row>
      <xdr:rowOff>9525</xdr:rowOff>
    </xdr:from>
    <xdr:ext cx="2114550" cy="1295400"/>
    <xdr:graphicFrame macro="">
      <xdr:nvGraphicFramePr>
        <xdr:cNvPr id="1080034111" name="Chart 1" title="Gráfico">
          <a:extLst>
            <a:ext uri="{FF2B5EF4-FFF2-40B4-BE49-F238E27FC236}">
              <a16:creationId xmlns:a16="http://schemas.microsoft.com/office/drawing/2014/main" id="{00000000-0008-0000-0700-00003F036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152400</xdr:colOff>
      <xdr:row>9</xdr:row>
      <xdr:rowOff>9525</xdr:rowOff>
    </xdr:from>
    <xdr:ext cx="2314575" cy="1428750"/>
    <xdr:graphicFrame macro="">
      <xdr:nvGraphicFramePr>
        <xdr:cNvPr id="585073928" name="Chart 2" title="Gráfico">
          <a:extLst>
            <a:ext uri="{FF2B5EF4-FFF2-40B4-BE49-F238E27FC236}">
              <a16:creationId xmlns:a16="http://schemas.microsoft.com/office/drawing/2014/main" id="{00000000-0008-0000-0700-00000885D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152400</xdr:colOff>
      <xdr:row>16</xdr:row>
      <xdr:rowOff>161925</xdr:rowOff>
    </xdr:from>
    <xdr:ext cx="2314575" cy="1428750"/>
    <xdr:graphicFrame macro="">
      <xdr:nvGraphicFramePr>
        <xdr:cNvPr id="1558005513" name="Chart 3" title="Gráfico">
          <a:extLst>
            <a:ext uri="{FF2B5EF4-FFF2-40B4-BE49-F238E27FC236}">
              <a16:creationId xmlns:a16="http://schemas.microsoft.com/office/drawing/2014/main" id="{00000000-0008-0000-0700-00000947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152400</xdr:colOff>
      <xdr:row>24</xdr:row>
      <xdr:rowOff>171450</xdr:rowOff>
    </xdr:from>
    <xdr:ext cx="2114550" cy="1295400"/>
    <xdr:graphicFrame macro="">
      <xdr:nvGraphicFramePr>
        <xdr:cNvPr id="596137034" name="Chart 4" title="Gráfico">
          <a:extLst>
            <a:ext uri="{FF2B5EF4-FFF2-40B4-BE49-F238E27FC236}">
              <a16:creationId xmlns:a16="http://schemas.microsoft.com/office/drawing/2014/main" id="{00000000-0008-0000-0700-00004A548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152400</xdr:colOff>
      <xdr:row>32</xdr:row>
      <xdr:rowOff>171450</xdr:rowOff>
    </xdr:from>
    <xdr:ext cx="2181225" cy="1343025"/>
    <xdr:graphicFrame macro="">
      <xdr:nvGraphicFramePr>
        <xdr:cNvPr id="59457047" name="Chart 5" title="Gráfico">
          <a:extLst>
            <a:ext uri="{FF2B5EF4-FFF2-40B4-BE49-F238E27FC236}">
              <a16:creationId xmlns:a16="http://schemas.microsoft.com/office/drawing/2014/main" id="{00000000-0008-0000-0700-0000173E8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6</xdr:col>
      <xdr:colOff>276225</xdr:colOff>
      <xdr:row>51</xdr:row>
      <xdr:rowOff>171450</xdr:rowOff>
    </xdr:from>
    <xdr:ext cx="2114550" cy="1343025"/>
    <xdr:graphicFrame macro="">
      <xdr:nvGraphicFramePr>
        <xdr:cNvPr id="655057681" name="Chart 6" title="Gráfico">
          <a:extLst>
            <a:ext uri="{FF2B5EF4-FFF2-40B4-BE49-F238E27FC236}">
              <a16:creationId xmlns:a16="http://schemas.microsoft.com/office/drawing/2014/main" id="{00000000-0008-0000-0700-000011630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14</xdr:col>
      <xdr:colOff>247650</xdr:colOff>
      <xdr:row>51</xdr:row>
      <xdr:rowOff>171450</xdr:rowOff>
    </xdr:from>
    <xdr:ext cx="2181225" cy="1343025"/>
    <xdr:graphicFrame macro="">
      <xdr:nvGraphicFramePr>
        <xdr:cNvPr id="1790584690" name="Chart 7" title="Gráfico">
          <a:extLst>
            <a:ext uri="{FF2B5EF4-FFF2-40B4-BE49-F238E27FC236}">
              <a16:creationId xmlns:a16="http://schemas.microsoft.com/office/drawing/2014/main" id="{00000000-0008-0000-0700-00007227B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247650</xdr:colOff>
      <xdr:row>59</xdr:row>
      <xdr:rowOff>180975</xdr:rowOff>
    </xdr:from>
    <xdr:ext cx="2190750" cy="1343025"/>
    <xdr:graphicFrame macro="">
      <xdr:nvGraphicFramePr>
        <xdr:cNvPr id="64935786" name="Chart 8" title="Gráfico">
          <a:extLst>
            <a:ext uri="{FF2B5EF4-FFF2-40B4-BE49-F238E27FC236}">
              <a16:creationId xmlns:a16="http://schemas.microsoft.com/office/drawing/2014/main" id="{00000000-0008-0000-0700-00006AD7D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14</xdr:col>
      <xdr:colOff>247650</xdr:colOff>
      <xdr:row>68</xdr:row>
      <xdr:rowOff>0</xdr:rowOff>
    </xdr:from>
    <xdr:ext cx="2114550" cy="1295400"/>
    <xdr:graphicFrame macro="">
      <xdr:nvGraphicFramePr>
        <xdr:cNvPr id="1587095075" name="Chart 9" title="Gráfico">
          <a:extLst>
            <a:ext uri="{FF2B5EF4-FFF2-40B4-BE49-F238E27FC236}">
              <a16:creationId xmlns:a16="http://schemas.microsoft.com/office/drawing/2014/main" id="{00000000-0008-0000-0700-000023269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14</xdr:col>
      <xdr:colOff>247650</xdr:colOff>
      <xdr:row>75</xdr:row>
      <xdr:rowOff>180975</xdr:rowOff>
    </xdr:from>
    <xdr:ext cx="2190750" cy="1343025"/>
    <xdr:graphicFrame macro="">
      <xdr:nvGraphicFramePr>
        <xdr:cNvPr id="889128930" name="Chart 10" title="Gráfico">
          <a:extLst>
            <a:ext uri="{FF2B5EF4-FFF2-40B4-BE49-F238E27FC236}">
              <a16:creationId xmlns:a16="http://schemas.microsoft.com/office/drawing/2014/main" id="{00000000-0008-0000-0700-0000E207F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14</xdr:col>
      <xdr:colOff>247650</xdr:colOff>
      <xdr:row>83</xdr:row>
      <xdr:rowOff>161925</xdr:rowOff>
    </xdr:from>
    <xdr:ext cx="2181225" cy="1343025"/>
    <xdr:graphicFrame macro="">
      <xdr:nvGraphicFramePr>
        <xdr:cNvPr id="723272659" name="Chart 11" title="Gráfico">
          <a:extLst>
            <a:ext uri="{FF2B5EF4-FFF2-40B4-BE49-F238E27FC236}">
              <a16:creationId xmlns:a16="http://schemas.microsoft.com/office/drawing/2014/main" id="{00000000-0008-0000-0700-0000D3431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6</xdr:col>
      <xdr:colOff>276225</xdr:colOff>
      <xdr:row>59</xdr:row>
      <xdr:rowOff>180975</xdr:rowOff>
    </xdr:from>
    <xdr:ext cx="2181225" cy="1343025"/>
    <xdr:graphicFrame macro="">
      <xdr:nvGraphicFramePr>
        <xdr:cNvPr id="1403351436" name="Chart 12" title="Gráfico">
          <a:extLst>
            <a:ext uri="{FF2B5EF4-FFF2-40B4-BE49-F238E27FC236}">
              <a16:creationId xmlns:a16="http://schemas.microsoft.com/office/drawing/2014/main" id="{00000000-0008-0000-0700-00008C71A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6</xdr:col>
      <xdr:colOff>276225</xdr:colOff>
      <xdr:row>68</xdr:row>
      <xdr:rowOff>19050</xdr:rowOff>
    </xdr:from>
    <xdr:ext cx="2076450" cy="1295400"/>
    <xdr:graphicFrame macro="">
      <xdr:nvGraphicFramePr>
        <xdr:cNvPr id="1083723373" name="Chart 13" title="Gráfico">
          <a:extLst>
            <a:ext uri="{FF2B5EF4-FFF2-40B4-BE49-F238E27FC236}">
              <a16:creationId xmlns:a16="http://schemas.microsoft.com/office/drawing/2014/main" id="{00000000-0008-0000-0700-00006D4E9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6</xdr:col>
      <xdr:colOff>276225</xdr:colOff>
      <xdr:row>75</xdr:row>
      <xdr:rowOff>180975</xdr:rowOff>
    </xdr:from>
    <xdr:ext cx="2181225" cy="1343025"/>
    <xdr:graphicFrame macro="">
      <xdr:nvGraphicFramePr>
        <xdr:cNvPr id="1599971982" name="Chart 14" title="Gráfico">
          <a:extLst>
            <a:ext uri="{FF2B5EF4-FFF2-40B4-BE49-F238E27FC236}">
              <a16:creationId xmlns:a16="http://schemas.microsoft.com/office/drawing/2014/main" id="{00000000-0008-0000-0700-00008EA25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6</xdr:col>
      <xdr:colOff>276225</xdr:colOff>
      <xdr:row>84</xdr:row>
      <xdr:rowOff>9525</xdr:rowOff>
    </xdr:from>
    <xdr:ext cx="2114550" cy="1295400"/>
    <xdr:graphicFrame macro="">
      <xdr:nvGraphicFramePr>
        <xdr:cNvPr id="1144166884" name="Chart 15" title="Gráfico">
          <a:extLst>
            <a:ext uri="{FF2B5EF4-FFF2-40B4-BE49-F238E27FC236}">
              <a16:creationId xmlns:a16="http://schemas.microsoft.com/office/drawing/2014/main" id="{00000000-0008-0000-0700-0000E4993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6</xdr:col>
      <xdr:colOff>152400</xdr:colOff>
      <xdr:row>42</xdr:row>
      <xdr:rowOff>9525</xdr:rowOff>
    </xdr:from>
    <xdr:ext cx="2038350" cy="1295400"/>
    <xdr:graphicFrame macro="">
      <xdr:nvGraphicFramePr>
        <xdr:cNvPr id="1139653054" name="Chart 16" title="Gráfico">
          <a:extLst>
            <a:ext uri="{FF2B5EF4-FFF2-40B4-BE49-F238E27FC236}">
              <a16:creationId xmlns:a16="http://schemas.microsoft.com/office/drawing/2014/main" id="{00000000-0008-0000-0700-0000BEB9E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12</xdr:col>
      <xdr:colOff>447675</xdr:colOff>
      <xdr:row>1</xdr:row>
      <xdr:rowOff>9525</xdr:rowOff>
    </xdr:from>
    <xdr:ext cx="2076450" cy="1295400"/>
    <xdr:graphicFrame macro="">
      <xdr:nvGraphicFramePr>
        <xdr:cNvPr id="1025861000" name="Chart 17" title="Gráfico">
          <a:extLst>
            <a:ext uri="{FF2B5EF4-FFF2-40B4-BE49-F238E27FC236}">
              <a16:creationId xmlns:a16="http://schemas.microsoft.com/office/drawing/2014/main" id="{00000000-0008-0000-0700-000088652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12</xdr:col>
      <xdr:colOff>447675</xdr:colOff>
      <xdr:row>9</xdr:row>
      <xdr:rowOff>9525</xdr:rowOff>
    </xdr:from>
    <xdr:ext cx="2314575" cy="1428750"/>
    <xdr:graphicFrame macro="">
      <xdr:nvGraphicFramePr>
        <xdr:cNvPr id="1767555506" name="Chart 18" title="Gráfico">
          <a:extLst>
            <a:ext uri="{FF2B5EF4-FFF2-40B4-BE49-F238E27FC236}">
              <a16:creationId xmlns:a16="http://schemas.microsoft.com/office/drawing/2014/main" id="{00000000-0008-0000-0700-0000B2C15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12</xdr:col>
      <xdr:colOff>447675</xdr:colOff>
      <xdr:row>24</xdr:row>
      <xdr:rowOff>171450</xdr:rowOff>
    </xdr:from>
    <xdr:ext cx="2181225" cy="1343025"/>
    <xdr:graphicFrame macro="">
      <xdr:nvGraphicFramePr>
        <xdr:cNvPr id="198121823" name="Chart 19" title="Gráfico">
          <a:extLst>
            <a:ext uri="{FF2B5EF4-FFF2-40B4-BE49-F238E27FC236}">
              <a16:creationId xmlns:a16="http://schemas.microsoft.com/office/drawing/2014/main" id="{00000000-0008-0000-0700-00005F19C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0</xdr:rowOff>
    </xdr:from>
    <xdr:ext cx="2181225" cy="1343025"/>
    <xdr:graphicFrame macro="">
      <xdr:nvGraphicFramePr>
        <xdr:cNvPr id="633358564" name="Chart 20" title="Gráfico">
          <a:extLst>
            <a:ext uri="{FF2B5EF4-FFF2-40B4-BE49-F238E27FC236}">
              <a16:creationId xmlns:a16="http://schemas.microsoft.com/office/drawing/2014/main" id="{00000000-0008-0000-0700-0000E448C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 fLocksWithSheet="0"/>
  </xdr:oneCellAnchor>
  <xdr:oneCellAnchor>
    <xdr:from>
      <xdr:col>21</xdr:col>
      <xdr:colOff>0</xdr:colOff>
      <xdr:row>9</xdr:row>
      <xdr:rowOff>9525</xdr:rowOff>
    </xdr:from>
    <xdr:ext cx="2314575" cy="1428750"/>
    <xdr:graphicFrame macro="">
      <xdr:nvGraphicFramePr>
        <xdr:cNvPr id="1777941079" name="Chart 21" title="Gráfico">
          <a:extLst>
            <a:ext uri="{FF2B5EF4-FFF2-40B4-BE49-F238E27FC236}">
              <a16:creationId xmlns:a16="http://schemas.microsoft.com/office/drawing/2014/main" id="{00000000-0008-0000-0700-0000573AF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oneCellAnchor>
  <xdr:oneCellAnchor>
    <xdr:from>
      <xdr:col>21</xdr:col>
      <xdr:colOff>0</xdr:colOff>
      <xdr:row>25</xdr:row>
      <xdr:rowOff>0</xdr:rowOff>
    </xdr:from>
    <xdr:ext cx="2181225" cy="1343025"/>
    <xdr:graphicFrame macro="">
      <xdr:nvGraphicFramePr>
        <xdr:cNvPr id="1339484869" name="Chart 22" title="Gráfico">
          <a:extLst>
            <a:ext uri="{FF2B5EF4-FFF2-40B4-BE49-F238E27FC236}">
              <a16:creationId xmlns:a16="http://schemas.microsoft.com/office/drawing/2014/main" id="{00000000-0008-0000-0700-0000C5EAD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oneCellAnchor>
    <xdr:from>
      <xdr:col>29</xdr:col>
      <xdr:colOff>0</xdr:colOff>
      <xdr:row>0</xdr:row>
      <xdr:rowOff>0</xdr:rowOff>
    </xdr:from>
    <xdr:ext cx="2190750" cy="1343025"/>
    <xdr:graphicFrame macro="">
      <xdr:nvGraphicFramePr>
        <xdr:cNvPr id="1323616623" name="Chart 23" title="Gráfico">
          <a:extLst>
            <a:ext uri="{FF2B5EF4-FFF2-40B4-BE49-F238E27FC236}">
              <a16:creationId xmlns:a16="http://schemas.microsoft.com/office/drawing/2014/main" id="{00000000-0008-0000-0700-00006FC9E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oneCellAnchor>
  <xdr:oneCellAnchor>
    <xdr:from>
      <xdr:col>29</xdr:col>
      <xdr:colOff>0</xdr:colOff>
      <xdr:row>8</xdr:row>
      <xdr:rowOff>152400</xdr:rowOff>
    </xdr:from>
    <xdr:ext cx="2390775" cy="1476375"/>
    <xdr:graphicFrame macro="">
      <xdr:nvGraphicFramePr>
        <xdr:cNvPr id="155358478" name="Chart 24" title="Gráfico">
          <a:extLst>
            <a:ext uri="{FF2B5EF4-FFF2-40B4-BE49-F238E27FC236}">
              <a16:creationId xmlns:a16="http://schemas.microsoft.com/office/drawing/2014/main" id="{00000000-0008-0000-0700-00000E954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 fLocksWithSheet="0"/>
  </xdr:oneCellAnchor>
  <xdr:oneCellAnchor>
    <xdr:from>
      <xdr:col>29</xdr:col>
      <xdr:colOff>0</xdr:colOff>
      <xdr:row>25</xdr:row>
      <xdr:rowOff>0</xdr:rowOff>
    </xdr:from>
    <xdr:ext cx="2114550" cy="1343025"/>
    <xdr:graphicFrame macro="">
      <xdr:nvGraphicFramePr>
        <xdr:cNvPr id="157461421" name="Chart 25" title="Gráfico">
          <a:extLst>
            <a:ext uri="{FF2B5EF4-FFF2-40B4-BE49-F238E27FC236}">
              <a16:creationId xmlns:a16="http://schemas.microsoft.com/office/drawing/2014/main" id="{00000000-0008-0000-0700-0000ADAB6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703125" defaultRowHeight="15" customHeight="1" x14ac:dyDescent="0.2"/>
  <cols>
    <col min="1" max="1" width="0.5703125" customWidth="1"/>
    <col min="5" max="5" width="14.5703125" customWidth="1"/>
    <col min="6" max="6" width="20.5703125" customWidth="1"/>
  </cols>
  <sheetData>
    <row r="1" spans="1:16" ht="5.25" customHeight="1" x14ac:dyDescent="0.2">
      <c r="A1" s="1" t="s">
        <v>0</v>
      </c>
    </row>
    <row r="2" spans="1:16" ht="15.75" customHeight="1" x14ac:dyDescent="0.2">
      <c r="B2" s="78" t="s">
        <v>1</v>
      </c>
      <c r="C2" s="79"/>
      <c r="D2" s="82" t="s">
        <v>2</v>
      </c>
      <c r="E2" s="82" t="s">
        <v>3</v>
      </c>
      <c r="F2" s="82" t="s">
        <v>4</v>
      </c>
      <c r="G2" s="84" t="s">
        <v>5</v>
      </c>
      <c r="H2" s="85"/>
      <c r="I2" s="86" t="s">
        <v>6</v>
      </c>
      <c r="J2" s="85"/>
      <c r="K2" s="85"/>
      <c r="L2" s="85"/>
      <c r="M2" s="85"/>
      <c r="N2" s="5"/>
      <c r="O2" s="5"/>
      <c r="P2" s="5"/>
    </row>
    <row r="3" spans="1:16" ht="15.75" customHeight="1" x14ac:dyDescent="0.2">
      <c r="B3" s="80"/>
      <c r="C3" s="81"/>
      <c r="D3" s="83"/>
      <c r="E3" s="83"/>
      <c r="F3" s="83"/>
      <c r="G3" s="7" t="s">
        <v>7</v>
      </c>
      <c r="H3" s="2" t="s">
        <v>8</v>
      </c>
      <c r="I3" s="8" t="s">
        <v>9</v>
      </c>
      <c r="J3" s="9" t="s">
        <v>10</v>
      </c>
      <c r="K3" s="10" t="s">
        <v>11</v>
      </c>
      <c r="L3" s="10" t="s">
        <v>8</v>
      </c>
      <c r="M3" s="11" t="s">
        <v>12</v>
      </c>
      <c r="N3" s="5"/>
      <c r="O3" s="5"/>
      <c r="P3" s="5"/>
    </row>
    <row r="4" spans="1:16" ht="15.75" customHeight="1" x14ac:dyDescent="0.2">
      <c r="B4" s="87" t="s">
        <v>13</v>
      </c>
      <c r="C4" s="12">
        <v>0</v>
      </c>
      <c r="D4" s="13">
        <v>8.1199999999999992</v>
      </c>
      <c r="E4" s="13">
        <v>0</v>
      </c>
      <c r="F4" s="13">
        <v>0</v>
      </c>
      <c r="G4" s="13">
        <v>0</v>
      </c>
      <c r="H4" s="13">
        <f>G4</f>
        <v>0</v>
      </c>
      <c r="I4" s="14">
        <v>0</v>
      </c>
      <c r="J4" s="15">
        <v>0</v>
      </c>
      <c r="K4" s="16">
        <f t="shared" ref="K4:K8" si="0">AVERAGE(I4:J4)</f>
        <v>0</v>
      </c>
      <c r="L4" s="16">
        <f>K4</f>
        <v>0</v>
      </c>
      <c r="M4" s="17">
        <f t="shared" ref="M4:M8" si="1">(814.2565*L4) - 3.893</f>
        <v>-3.8929999999999998</v>
      </c>
      <c r="N4" s="5"/>
      <c r="O4" s="5"/>
      <c r="P4" s="5"/>
    </row>
    <row r="5" spans="1:16" ht="15.75" customHeight="1" x14ac:dyDescent="0.2">
      <c r="B5" s="88"/>
      <c r="C5" s="18">
        <v>25</v>
      </c>
      <c r="D5" s="13">
        <v>9.68</v>
      </c>
      <c r="E5" s="13">
        <v>21.8</v>
      </c>
      <c r="F5" s="13">
        <v>4.38</v>
      </c>
      <c r="G5" s="13">
        <v>252</v>
      </c>
      <c r="H5" s="13">
        <f>G5*5</f>
        <v>1260</v>
      </c>
      <c r="I5" s="14">
        <v>0.10199999999999999</v>
      </c>
      <c r="J5" s="15">
        <v>0.108</v>
      </c>
      <c r="K5" s="16">
        <f t="shared" si="0"/>
        <v>0.105</v>
      </c>
      <c r="L5" s="16">
        <f>K5*5</f>
        <v>0.52500000000000002</v>
      </c>
      <c r="M5" s="17">
        <f t="shared" si="1"/>
        <v>423.59166250000004</v>
      </c>
      <c r="N5" s="5"/>
      <c r="O5" s="5"/>
      <c r="P5" s="5"/>
    </row>
    <row r="6" spans="1:16" ht="15.75" customHeight="1" x14ac:dyDescent="0.2">
      <c r="B6" s="88"/>
      <c r="C6" s="18">
        <v>50</v>
      </c>
      <c r="D6" s="19">
        <v>9.57</v>
      </c>
      <c r="E6" s="19">
        <v>32.200000000000003</v>
      </c>
      <c r="F6" s="19">
        <v>8.31</v>
      </c>
      <c r="G6" s="19">
        <v>244</v>
      </c>
      <c r="H6" s="13">
        <f>G6*10</f>
        <v>2440</v>
      </c>
      <c r="I6" s="14">
        <v>0.114</v>
      </c>
      <c r="J6" s="15">
        <v>0.127</v>
      </c>
      <c r="K6" s="16">
        <f t="shared" si="0"/>
        <v>0.1205</v>
      </c>
      <c r="L6" s="16">
        <f>K6*10</f>
        <v>1.2050000000000001</v>
      </c>
      <c r="M6" s="17">
        <f t="shared" si="1"/>
        <v>977.28608250000002</v>
      </c>
      <c r="N6" s="5"/>
      <c r="O6" s="5"/>
      <c r="P6" s="5"/>
    </row>
    <row r="7" spans="1:16" ht="15.75" customHeight="1" x14ac:dyDescent="0.2">
      <c r="B7" s="88"/>
      <c r="C7" s="18">
        <v>75</v>
      </c>
      <c r="D7" s="19">
        <v>9.5</v>
      </c>
      <c r="E7" s="19">
        <v>40.299999999999997</v>
      </c>
      <c r="F7" s="19">
        <v>12.39</v>
      </c>
      <c r="G7" s="19">
        <v>187</v>
      </c>
      <c r="H7" s="13">
        <f t="shared" ref="H7:H8" si="2">G7*20</f>
        <v>3740</v>
      </c>
      <c r="I7" s="15">
        <v>0.08</v>
      </c>
      <c r="J7" s="15">
        <v>8.5000000000000006E-2</v>
      </c>
      <c r="K7" s="16">
        <f t="shared" si="0"/>
        <v>8.2500000000000004E-2</v>
      </c>
      <c r="L7" s="16">
        <f t="shared" ref="L7:L8" si="3">K7*20</f>
        <v>1.6500000000000001</v>
      </c>
      <c r="M7" s="17">
        <f t="shared" si="1"/>
        <v>1339.6302250000001</v>
      </c>
      <c r="N7" s="5"/>
      <c r="O7" s="5"/>
      <c r="P7" s="5"/>
    </row>
    <row r="8" spans="1:16" ht="15.75" customHeight="1" x14ac:dyDescent="0.2">
      <c r="B8" s="81"/>
      <c r="C8" s="20">
        <v>100</v>
      </c>
      <c r="D8" s="19">
        <v>9.4600000000000009</v>
      </c>
      <c r="E8" s="19">
        <v>46.5</v>
      </c>
      <c r="F8" s="19">
        <v>16.02</v>
      </c>
      <c r="G8" s="19">
        <v>246</v>
      </c>
      <c r="H8" s="13">
        <f t="shared" si="2"/>
        <v>4920</v>
      </c>
      <c r="I8" s="15">
        <v>9.2999999999999999E-2</v>
      </c>
      <c r="J8" s="15">
        <v>0.10199999999999999</v>
      </c>
      <c r="K8" s="16">
        <f t="shared" si="0"/>
        <v>9.7500000000000003E-2</v>
      </c>
      <c r="L8" s="16">
        <f t="shared" si="3"/>
        <v>1.9500000000000002</v>
      </c>
      <c r="M8" s="17">
        <f t="shared" si="1"/>
        <v>1583.9071750000001</v>
      </c>
      <c r="N8" s="5"/>
      <c r="O8" s="5"/>
      <c r="P8" s="5"/>
    </row>
    <row r="9" spans="1:16" ht="15.75" customHeight="1" x14ac:dyDescent="0.2">
      <c r="B9" s="91"/>
      <c r="C9" s="81"/>
      <c r="D9" s="92"/>
      <c r="E9" s="85"/>
      <c r="F9" s="85"/>
      <c r="G9" s="85"/>
      <c r="H9" s="85"/>
      <c r="I9" s="85"/>
      <c r="J9" s="85"/>
      <c r="K9" s="85"/>
      <c r="L9" s="85"/>
      <c r="M9" s="93"/>
      <c r="N9" s="5"/>
      <c r="O9" s="5"/>
      <c r="P9" s="5"/>
    </row>
    <row r="10" spans="1:16" ht="15.75" customHeight="1" x14ac:dyDescent="0.2">
      <c r="B10" s="94" t="s">
        <v>14</v>
      </c>
      <c r="C10" s="18">
        <v>0</v>
      </c>
      <c r="D10" s="13">
        <v>8.1199999999999992</v>
      </c>
      <c r="E10" s="13">
        <v>0</v>
      </c>
      <c r="F10" s="13">
        <v>0</v>
      </c>
      <c r="G10" s="13">
        <v>0</v>
      </c>
      <c r="H10" s="13">
        <f>G10</f>
        <v>0</v>
      </c>
      <c r="I10" s="14">
        <v>0</v>
      </c>
      <c r="J10" s="15">
        <v>0</v>
      </c>
      <c r="K10" s="16">
        <f t="shared" ref="K10:K14" si="4">AVERAGE(I10:J10)</f>
        <v>0</v>
      </c>
      <c r="L10" s="16">
        <f>K10</f>
        <v>0</v>
      </c>
      <c r="M10" s="17">
        <f t="shared" ref="M10:M14" si="5">(814.2565*L10) - 3.893</f>
        <v>-3.8929999999999998</v>
      </c>
      <c r="N10" s="5"/>
      <c r="O10" s="5"/>
      <c r="P10" s="5"/>
    </row>
    <row r="11" spans="1:16" ht="15.75" customHeight="1" x14ac:dyDescent="0.2">
      <c r="B11" s="88"/>
      <c r="C11" s="18">
        <v>25</v>
      </c>
      <c r="D11" s="13">
        <v>9.68</v>
      </c>
      <c r="E11" s="13">
        <v>21.8</v>
      </c>
      <c r="F11" s="13">
        <v>4.38</v>
      </c>
      <c r="G11" s="13">
        <v>252</v>
      </c>
      <c r="H11" s="13">
        <f>G11*5</f>
        <v>1260</v>
      </c>
      <c r="I11" s="14">
        <v>0.10199999999999999</v>
      </c>
      <c r="J11" s="15">
        <v>0.108</v>
      </c>
      <c r="K11" s="16">
        <f t="shared" si="4"/>
        <v>0.105</v>
      </c>
      <c r="L11" s="16">
        <f>K11*5</f>
        <v>0.52500000000000002</v>
      </c>
      <c r="M11" s="17">
        <f t="shared" si="5"/>
        <v>423.59166250000004</v>
      </c>
    </row>
    <row r="12" spans="1:16" ht="15.75" customHeight="1" x14ac:dyDescent="0.2">
      <c r="B12" s="88"/>
      <c r="C12" s="18">
        <v>50</v>
      </c>
      <c r="D12" s="19">
        <v>9.57</v>
      </c>
      <c r="E12" s="19">
        <v>32.200000000000003</v>
      </c>
      <c r="F12" s="19">
        <v>8.31</v>
      </c>
      <c r="G12" s="19">
        <v>244</v>
      </c>
      <c r="H12" s="13">
        <f>G12*10</f>
        <v>2440</v>
      </c>
      <c r="I12" s="14">
        <v>0.114</v>
      </c>
      <c r="J12" s="15">
        <v>0.127</v>
      </c>
      <c r="K12" s="16">
        <f t="shared" si="4"/>
        <v>0.1205</v>
      </c>
      <c r="L12" s="16">
        <f>K12*10</f>
        <v>1.2050000000000001</v>
      </c>
      <c r="M12" s="17">
        <f t="shared" si="5"/>
        <v>977.28608250000002</v>
      </c>
    </row>
    <row r="13" spans="1:16" ht="15.75" customHeight="1" x14ac:dyDescent="0.2">
      <c r="B13" s="88"/>
      <c r="C13" s="18">
        <v>75</v>
      </c>
      <c r="D13" s="19">
        <v>9.5</v>
      </c>
      <c r="E13" s="19">
        <v>40.299999999999997</v>
      </c>
      <c r="F13" s="19">
        <v>12.39</v>
      </c>
      <c r="G13" s="19">
        <v>187</v>
      </c>
      <c r="H13" s="13">
        <f t="shared" ref="H13:H14" si="6">G13*20</f>
        <v>3740</v>
      </c>
      <c r="I13" s="15">
        <v>0.08</v>
      </c>
      <c r="J13" s="15">
        <v>8.5000000000000006E-2</v>
      </c>
      <c r="K13" s="16">
        <f t="shared" si="4"/>
        <v>8.2500000000000004E-2</v>
      </c>
      <c r="L13" s="16">
        <f t="shared" ref="L13:L14" si="7">K13*20</f>
        <v>1.6500000000000001</v>
      </c>
      <c r="M13" s="17">
        <f t="shared" si="5"/>
        <v>1339.6302250000001</v>
      </c>
    </row>
    <row r="14" spans="1:16" ht="15.75" customHeight="1" x14ac:dyDescent="0.2">
      <c r="B14" s="81"/>
      <c r="C14" s="20">
        <v>100</v>
      </c>
      <c r="D14" s="19">
        <v>9.4600000000000009</v>
      </c>
      <c r="E14" s="19">
        <v>46.5</v>
      </c>
      <c r="F14" s="19">
        <v>16.02</v>
      </c>
      <c r="G14" s="19">
        <v>246</v>
      </c>
      <c r="H14" s="13">
        <f t="shared" si="6"/>
        <v>4920</v>
      </c>
      <c r="I14" s="15">
        <v>9.2999999999999999E-2</v>
      </c>
      <c r="J14" s="15">
        <v>0.10199999999999999</v>
      </c>
      <c r="K14" s="16">
        <f t="shared" si="4"/>
        <v>9.7500000000000003E-2</v>
      </c>
      <c r="L14" s="16">
        <f t="shared" si="7"/>
        <v>1.9500000000000002</v>
      </c>
      <c r="M14" s="17">
        <f t="shared" si="5"/>
        <v>1583.9071750000001</v>
      </c>
    </row>
    <row r="15" spans="1:16" ht="15.75" customHeight="1" x14ac:dyDescent="0.2">
      <c r="B15" s="95"/>
      <c r="C15" s="81"/>
      <c r="D15" s="92"/>
      <c r="E15" s="85"/>
      <c r="F15" s="85"/>
      <c r="G15" s="85"/>
      <c r="H15" s="85"/>
      <c r="I15" s="85"/>
      <c r="J15" s="85"/>
      <c r="K15" s="85"/>
      <c r="L15" s="85"/>
      <c r="M15" s="93"/>
    </row>
    <row r="16" spans="1:16" ht="15.75" customHeight="1" x14ac:dyDescent="0.2">
      <c r="B16" s="89" t="s">
        <v>15</v>
      </c>
      <c r="C16" s="18">
        <v>0</v>
      </c>
      <c r="D16" s="19">
        <v>8.1199999999999992</v>
      </c>
      <c r="E16" s="13">
        <v>0</v>
      </c>
      <c r="F16" s="13">
        <v>0</v>
      </c>
      <c r="G16" s="13">
        <v>0</v>
      </c>
      <c r="H16" s="13">
        <f>G16</f>
        <v>0</v>
      </c>
      <c r="I16" s="14">
        <v>0</v>
      </c>
      <c r="J16" s="15">
        <v>0</v>
      </c>
      <c r="K16" s="16">
        <f t="shared" ref="K16:K20" si="8">AVERAGE(I16:J16)</f>
        <v>0</v>
      </c>
      <c r="L16" s="16">
        <f>K16</f>
        <v>0</v>
      </c>
      <c r="M16" s="17">
        <f t="shared" ref="M16:M20" si="9">(814.2565*L16) - 3.893</f>
        <v>-3.8929999999999998</v>
      </c>
    </row>
    <row r="17" spans="2:13" ht="15.75" customHeight="1" x14ac:dyDescent="0.2">
      <c r="B17" s="88"/>
      <c r="C17" s="18">
        <v>25</v>
      </c>
      <c r="D17" s="19">
        <v>8.07</v>
      </c>
      <c r="E17" s="19">
        <v>22.9</v>
      </c>
      <c r="F17" s="13">
        <v>7.65</v>
      </c>
      <c r="G17" s="13">
        <v>256</v>
      </c>
      <c r="H17" s="19">
        <f>G17*5</f>
        <v>1280</v>
      </c>
      <c r="I17" s="15">
        <v>0.126</v>
      </c>
      <c r="J17" s="15">
        <v>0.121</v>
      </c>
      <c r="K17" s="16">
        <f t="shared" si="8"/>
        <v>0.1235</v>
      </c>
      <c r="L17" s="16">
        <f>K17*5</f>
        <v>0.61749999999999994</v>
      </c>
      <c r="M17" s="17">
        <f t="shared" si="9"/>
        <v>498.91038874999992</v>
      </c>
    </row>
    <row r="18" spans="2:13" ht="15.75" customHeight="1" x14ac:dyDescent="0.2">
      <c r="B18" s="88"/>
      <c r="C18" s="18">
        <v>50</v>
      </c>
      <c r="D18" s="19">
        <v>8.01</v>
      </c>
      <c r="E18" s="19">
        <v>39.9</v>
      </c>
      <c r="F18" s="19">
        <v>13.53</v>
      </c>
      <c r="G18" s="19">
        <v>237</v>
      </c>
      <c r="H18" s="19">
        <f>G18*10</f>
        <v>2370</v>
      </c>
      <c r="I18" s="15">
        <v>0.128</v>
      </c>
      <c r="J18" s="15">
        <v>0.12</v>
      </c>
      <c r="K18" s="16">
        <f t="shared" si="8"/>
        <v>0.124</v>
      </c>
      <c r="L18" s="16">
        <f>K18*10</f>
        <v>1.24</v>
      </c>
      <c r="M18" s="17">
        <f t="shared" si="9"/>
        <v>1005.7850599999999</v>
      </c>
    </row>
    <row r="19" spans="2:13" ht="15.75" customHeight="1" x14ac:dyDescent="0.2">
      <c r="B19" s="88"/>
      <c r="C19" s="18">
        <v>75</v>
      </c>
      <c r="D19" s="19">
        <v>7.91</v>
      </c>
      <c r="E19" s="19">
        <v>142</v>
      </c>
      <c r="F19" s="19">
        <v>28.84</v>
      </c>
      <c r="G19" s="19">
        <v>268</v>
      </c>
      <c r="H19" s="19">
        <f t="shared" ref="H19:H20" si="10">G19*20</f>
        <v>5360</v>
      </c>
      <c r="I19" s="15">
        <v>0.13900000000000001</v>
      </c>
      <c r="J19" s="15">
        <v>0.13400000000000001</v>
      </c>
      <c r="K19" s="16">
        <f t="shared" si="8"/>
        <v>0.13650000000000001</v>
      </c>
      <c r="L19" s="16">
        <f t="shared" ref="L19:L20" si="11">K19*20</f>
        <v>2.7300000000000004</v>
      </c>
      <c r="M19" s="17">
        <f t="shared" si="9"/>
        <v>2219.0272450000002</v>
      </c>
    </row>
    <row r="20" spans="2:13" ht="15.75" customHeight="1" x14ac:dyDescent="0.2">
      <c r="B20" s="81"/>
      <c r="C20" s="20">
        <v>100</v>
      </c>
      <c r="D20" s="19">
        <v>7.91</v>
      </c>
      <c r="E20" s="19">
        <v>233</v>
      </c>
      <c r="F20" s="19">
        <v>31.9</v>
      </c>
      <c r="G20" s="19">
        <v>326</v>
      </c>
      <c r="H20" s="19">
        <f t="shared" si="10"/>
        <v>6520</v>
      </c>
      <c r="I20" s="15">
        <v>0.151</v>
      </c>
      <c r="J20" s="15">
        <v>0.14799999999999999</v>
      </c>
      <c r="K20" s="16">
        <f t="shared" si="8"/>
        <v>0.14949999999999999</v>
      </c>
      <c r="L20" s="16">
        <f t="shared" si="11"/>
        <v>2.9899999999999998</v>
      </c>
      <c r="M20" s="17">
        <f t="shared" si="9"/>
        <v>2430.7339349999997</v>
      </c>
    </row>
    <row r="21" spans="2:13" ht="15.75" customHeight="1" x14ac:dyDescent="0.2">
      <c r="B21" s="91"/>
      <c r="C21" s="81"/>
      <c r="D21" s="92"/>
      <c r="E21" s="85"/>
      <c r="F21" s="85"/>
      <c r="G21" s="85"/>
      <c r="H21" s="85"/>
      <c r="I21" s="85"/>
      <c r="J21" s="85"/>
      <c r="K21" s="85"/>
      <c r="L21" s="85"/>
      <c r="M21" s="93"/>
    </row>
    <row r="22" spans="2:13" ht="15.75" customHeight="1" x14ac:dyDescent="0.2">
      <c r="B22" s="90" t="s">
        <v>16</v>
      </c>
      <c r="C22" s="18">
        <v>0</v>
      </c>
      <c r="D22" s="19">
        <v>8.1199999999999992</v>
      </c>
      <c r="E22" s="13">
        <v>0</v>
      </c>
      <c r="F22" s="13">
        <v>0</v>
      </c>
      <c r="G22" s="13">
        <v>0</v>
      </c>
      <c r="H22" s="13">
        <f>G22</f>
        <v>0</v>
      </c>
      <c r="I22" s="14">
        <v>0</v>
      </c>
      <c r="J22" s="15">
        <v>0</v>
      </c>
      <c r="K22" s="16">
        <f t="shared" ref="K22:K26" si="12">AVERAGE(I22:J22)</f>
        <v>0</v>
      </c>
      <c r="L22" s="16">
        <f>K22</f>
        <v>0</v>
      </c>
      <c r="M22" s="17">
        <f t="shared" ref="M22:M26" si="13">(814.2565*L22) - 3.893</f>
        <v>-3.8929999999999998</v>
      </c>
    </row>
    <row r="23" spans="2:13" ht="15.75" customHeight="1" x14ac:dyDescent="0.2">
      <c r="B23" s="88"/>
      <c r="C23" s="18">
        <v>25</v>
      </c>
      <c r="D23" s="19">
        <v>8.07</v>
      </c>
      <c r="E23" s="19">
        <v>22.9</v>
      </c>
      <c r="F23" s="13">
        <v>7.65</v>
      </c>
      <c r="G23" s="13">
        <v>256</v>
      </c>
      <c r="H23" s="19">
        <f>G23*5</f>
        <v>1280</v>
      </c>
      <c r="I23" s="15">
        <v>0.126</v>
      </c>
      <c r="J23" s="15">
        <v>0.121</v>
      </c>
      <c r="K23" s="16">
        <f t="shared" si="12"/>
        <v>0.1235</v>
      </c>
      <c r="L23" s="16">
        <f>K23*5</f>
        <v>0.61749999999999994</v>
      </c>
      <c r="M23" s="17">
        <f t="shared" si="13"/>
        <v>498.91038874999992</v>
      </c>
    </row>
    <row r="24" spans="2:13" ht="15.75" customHeight="1" x14ac:dyDescent="0.2">
      <c r="B24" s="88"/>
      <c r="C24" s="18">
        <v>50</v>
      </c>
      <c r="D24" s="19">
        <v>8.01</v>
      </c>
      <c r="E24" s="19">
        <v>39.9</v>
      </c>
      <c r="F24" s="19">
        <v>13.53</v>
      </c>
      <c r="G24" s="19">
        <v>237</v>
      </c>
      <c r="H24" s="19">
        <f>G24*10</f>
        <v>2370</v>
      </c>
      <c r="I24" s="15">
        <v>0.128</v>
      </c>
      <c r="J24" s="15">
        <v>0.12</v>
      </c>
      <c r="K24" s="16">
        <f t="shared" si="12"/>
        <v>0.124</v>
      </c>
      <c r="L24" s="16">
        <f>K24*10</f>
        <v>1.24</v>
      </c>
      <c r="M24" s="17">
        <f t="shared" si="13"/>
        <v>1005.7850599999999</v>
      </c>
    </row>
    <row r="25" spans="2:13" ht="15.75" customHeight="1" x14ac:dyDescent="0.2">
      <c r="B25" s="88"/>
      <c r="C25" s="18">
        <v>75</v>
      </c>
      <c r="D25" s="19">
        <v>7.91</v>
      </c>
      <c r="E25" s="19">
        <v>142</v>
      </c>
      <c r="F25" s="19">
        <v>28.84</v>
      </c>
      <c r="G25" s="19">
        <v>268</v>
      </c>
      <c r="H25" s="19">
        <f t="shared" ref="H25:H26" si="14">G25*20</f>
        <v>5360</v>
      </c>
      <c r="I25" s="15">
        <v>0.13900000000000001</v>
      </c>
      <c r="J25" s="15">
        <v>0.13400000000000001</v>
      </c>
      <c r="K25" s="16">
        <f t="shared" si="12"/>
        <v>0.13650000000000001</v>
      </c>
      <c r="L25" s="16">
        <f t="shared" ref="L25:L26" si="15">K25*20</f>
        <v>2.7300000000000004</v>
      </c>
      <c r="M25" s="17">
        <f t="shared" si="13"/>
        <v>2219.0272450000002</v>
      </c>
    </row>
    <row r="26" spans="2:13" ht="15.75" customHeight="1" x14ac:dyDescent="0.2">
      <c r="B26" s="81"/>
      <c r="C26" s="20">
        <v>100</v>
      </c>
      <c r="D26" s="19">
        <v>7.91</v>
      </c>
      <c r="E26" s="19">
        <v>233</v>
      </c>
      <c r="F26" s="19">
        <v>31.9</v>
      </c>
      <c r="G26" s="19">
        <v>326</v>
      </c>
      <c r="H26" s="19">
        <f t="shared" si="14"/>
        <v>6520</v>
      </c>
      <c r="I26" s="15">
        <v>0.151</v>
      </c>
      <c r="J26" s="15">
        <v>0.14799999999999999</v>
      </c>
      <c r="K26" s="16">
        <f t="shared" si="12"/>
        <v>0.14949999999999999</v>
      </c>
      <c r="L26" s="16">
        <f t="shared" si="15"/>
        <v>2.9899999999999998</v>
      </c>
      <c r="M26" s="17">
        <f t="shared" si="13"/>
        <v>2430.7339349999997</v>
      </c>
    </row>
    <row r="27" spans="2:13" ht="15.75" customHeight="1" x14ac:dyDescent="0.2"/>
    <row r="28" spans="2:13" ht="15.75" customHeight="1" x14ac:dyDescent="0.2"/>
    <row r="29" spans="2:13" ht="15.75" customHeight="1" x14ac:dyDescent="0.2"/>
    <row r="30" spans="2:13" ht="15.75" customHeight="1" x14ac:dyDescent="0.2"/>
    <row r="31" spans="2:13" ht="15.75" customHeight="1" x14ac:dyDescent="0.2"/>
    <row r="32" spans="2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6"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  <mergeCell ref="B2:C3"/>
    <mergeCell ref="D2:D3"/>
    <mergeCell ref="E2:E3"/>
    <mergeCell ref="F2:F3"/>
    <mergeCell ref="G2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703125" defaultRowHeight="15" customHeight="1" x14ac:dyDescent="0.2"/>
  <cols>
    <col min="1" max="1" width="0.5703125" customWidth="1"/>
    <col min="5" max="5" width="14.5703125" customWidth="1"/>
    <col min="6" max="6" width="20.5703125" customWidth="1"/>
  </cols>
  <sheetData>
    <row r="1" spans="1:11" ht="5.25" customHeight="1" x14ac:dyDescent="0.2">
      <c r="A1" s="1" t="s">
        <v>17</v>
      </c>
    </row>
    <row r="2" spans="1:11" ht="15.75" customHeight="1" x14ac:dyDescent="0.2">
      <c r="B2" s="78" t="s">
        <v>1</v>
      </c>
      <c r="C2" s="79"/>
      <c r="D2" s="82" t="s">
        <v>2</v>
      </c>
      <c r="E2" s="82" t="s">
        <v>3</v>
      </c>
      <c r="F2" s="82" t="s">
        <v>4</v>
      </c>
      <c r="G2" s="96" t="s">
        <v>5</v>
      </c>
      <c r="H2" s="98" t="s">
        <v>6</v>
      </c>
      <c r="I2" s="5"/>
      <c r="J2" s="5"/>
      <c r="K2" s="5"/>
    </row>
    <row r="3" spans="1:11" ht="15.75" customHeight="1" x14ac:dyDescent="0.2">
      <c r="B3" s="80"/>
      <c r="C3" s="81"/>
      <c r="D3" s="83"/>
      <c r="E3" s="83"/>
      <c r="F3" s="83"/>
      <c r="G3" s="97"/>
      <c r="H3" s="83"/>
      <c r="I3" s="5"/>
      <c r="J3" s="5"/>
      <c r="K3" s="5"/>
    </row>
    <row r="4" spans="1:11" ht="15.75" customHeight="1" x14ac:dyDescent="0.2">
      <c r="B4" s="87" t="s">
        <v>13</v>
      </c>
      <c r="C4" s="12">
        <v>0</v>
      </c>
      <c r="D4" s="21">
        <f>'Dia 0'!D4</f>
        <v>8.1199999999999992</v>
      </c>
      <c r="E4" s="21">
        <f>'Dia 0'!E4</f>
        <v>0</v>
      </c>
      <c r="F4" s="21">
        <f>'Dia 0'!F4</f>
        <v>0</v>
      </c>
      <c r="G4" s="21">
        <f>'Dia 0'!H4</f>
        <v>0</v>
      </c>
      <c r="H4" s="21">
        <f>'Dia 0'!$M4</f>
        <v>-3.8929999999999998</v>
      </c>
      <c r="I4" s="5"/>
      <c r="J4" s="5"/>
      <c r="K4" s="5"/>
    </row>
    <row r="5" spans="1:11" ht="15.75" customHeight="1" x14ac:dyDescent="0.2">
      <c r="B5" s="88"/>
      <c r="C5" s="18">
        <v>25</v>
      </c>
      <c r="D5" s="21">
        <f>'Dia 0'!D5</f>
        <v>9.68</v>
      </c>
      <c r="E5" s="21">
        <f>'Dia 0'!E5</f>
        <v>21.8</v>
      </c>
      <c r="F5" s="21">
        <f>'Dia 0'!F5</f>
        <v>4.38</v>
      </c>
      <c r="G5" s="21">
        <f>'Dia 0'!H5</f>
        <v>1260</v>
      </c>
      <c r="H5" s="21">
        <f>'Dia 0'!$M5</f>
        <v>423.59166250000004</v>
      </c>
      <c r="I5" s="5"/>
      <c r="J5" s="5"/>
      <c r="K5" s="5"/>
    </row>
    <row r="6" spans="1:11" ht="15.75" customHeight="1" x14ac:dyDescent="0.2">
      <c r="B6" s="88"/>
      <c r="C6" s="18">
        <v>50</v>
      </c>
      <c r="D6" s="21">
        <f>'Dia 0'!D6</f>
        <v>9.57</v>
      </c>
      <c r="E6" s="21">
        <f>'Dia 0'!E6</f>
        <v>32.200000000000003</v>
      </c>
      <c r="F6" s="21">
        <f>'Dia 0'!F6</f>
        <v>8.31</v>
      </c>
      <c r="G6" s="21">
        <f>'Dia 0'!H6</f>
        <v>2440</v>
      </c>
      <c r="H6" s="21">
        <f>'Dia 0'!$M6</f>
        <v>977.28608250000002</v>
      </c>
      <c r="I6" s="5"/>
      <c r="J6" s="5"/>
      <c r="K6" s="5"/>
    </row>
    <row r="7" spans="1:11" ht="15.75" customHeight="1" x14ac:dyDescent="0.2">
      <c r="B7" s="88"/>
      <c r="C7" s="18">
        <v>75</v>
      </c>
      <c r="D7" s="21">
        <f>'Dia 0'!D7</f>
        <v>9.5</v>
      </c>
      <c r="E7" s="21">
        <f>'Dia 0'!E7</f>
        <v>40.299999999999997</v>
      </c>
      <c r="F7" s="21">
        <f>'Dia 0'!F7</f>
        <v>12.39</v>
      </c>
      <c r="G7" s="21">
        <f>'Dia 0'!H7</f>
        <v>3740</v>
      </c>
      <c r="H7" s="21">
        <f>'Dia 0'!$M7</f>
        <v>1339.6302250000001</v>
      </c>
      <c r="I7" s="5"/>
      <c r="J7" s="5"/>
      <c r="K7" s="5"/>
    </row>
    <row r="8" spans="1:11" ht="15.75" customHeight="1" x14ac:dyDescent="0.2">
      <c r="B8" s="81"/>
      <c r="C8" s="20">
        <v>100</v>
      </c>
      <c r="D8" s="21">
        <f>'Dia 0'!D8</f>
        <v>9.4600000000000009</v>
      </c>
      <c r="E8" s="21">
        <f>'Dia 0'!E8</f>
        <v>46.5</v>
      </c>
      <c r="F8" s="21">
        <f>'Dia 0'!F8</f>
        <v>16.02</v>
      </c>
      <c r="G8" s="21">
        <f>'Dia 0'!H8</f>
        <v>4920</v>
      </c>
      <c r="H8" s="21">
        <f>'Dia 0'!$M8</f>
        <v>1583.9071750000001</v>
      </c>
      <c r="I8" s="5"/>
      <c r="J8" s="5"/>
      <c r="K8" s="5"/>
    </row>
    <row r="9" spans="1:11" ht="15.75" customHeight="1" x14ac:dyDescent="0.2">
      <c r="B9" s="91"/>
      <c r="C9" s="81"/>
      <c r="D9" s="99"/>
      <c r="E9" s="85"/>
      <c r="F9" s="85"/>
      <c r="G9" s="85"/>
      <c r="H9" s="93"/>
      <c r="I9" s="5"/>
      <c r="J9" s="5"/>
      <c r="K9" s="5"/>
    </row>
    <row r="10" spans="1:11" ht="15.75" customHeight="1" x14ac:dyDescent="0.2">
      <c r="B10" s="94" t="s">
        <v>14</v>
      </c>
      <c r="C10" s="18">
        <v>0</v>
      </c>
      <c r="D10" s="22">
        <f>'Dia 0'!D10</f>
        <v>8.1199999999999992</v>
      </c>
      <c r="E10" s="22">
        <f>'Dia 0'!E10</f>
        <v>0</v>
      </c>
      <c r="F10" s="22">
        <f>'Dia 0'!F10</f>
        <v>0</v>
      </c>
      <c r="G10" s="22">
        <f>'Dia 0'!H10</f>
        <v>0</v>
      </c>
      <c r="H10" s="22">
        <f>'Dia 0'!$M10</f>
        <v>-3.8929999999999998</v>
      </c>
      <c r="I10" s="5"/>
      <c r="J10" s="5"/>
      <c r="K10" s="5"/>
    </row>
    <row r="11" spans="1:11" ht="15.75" customHeight="1" x14ac:dyDescent="0.2">
      <c r="B11" s="88"/>
      <c r="C11" s="18">
        <v>25</v>
      </c>
      <c r="D11" s="22">
        <f>'Dia 0'!D11</f>
        <v>9.68</v>
      </c>
      <c r="E11" s="22">
        <f>'Dia 0'!E11</f>
        <v>21.8</v>
      </c>
      <c r="F11" s="22">
        <f>'Dia 0'!F11</f>
        <v>4.38</v>
      </c>
      <c r="G11" s="22">
        <f>'Dia 0'!H11</f>
        <v>1260</v>
      </c>
      <c r="H11" s="22">
        <f>'Dia 0'!$M11</f>
        <v>423.59166250000004</v>
      </c>
    </row>
    <row r="12" spans="1:11" ht="15.75" customHeight="1" x14ac:dyDescent="0.2">
      <c r="B12" s="88"/>
      <c r="C12" s="18">
        <v>50</v>
      </c>
      <c r="D12" s="22">
        <f>'Dia 0'!D12</f>
        <v>9.57</v>
      </c>
      <c r="E12" s="22">
        <f>'Dia 0'!E12</f>
        <v>32.200000000000003</v>
      </c>
      <c r="F12" s="22">
        <f>'Dia 0'!F12</f>
        <v>8.31</v>
      </c>
      <c r="G12" s="22">
        <f>'Dia 0'!H12</f>
        <v>2440</v>
      </c>
      <c r="H12" s="22">
        <f>'Dia 0'!$M12</f>
        <v>977.28608250000002</v>
      </c>
    </row>
    <row r="13" spans="1:11" ht="15.75" customHeight="1" x14ac:dyDescent="0.2">
      <c r="B13" s="88"/>
      <c r="C13" s="18">
        <v>75</v>
      </c>
      <c r="D13" s="22">
        <f>'Dia 0'!D13</f>
        <v>9.5</v>
      </c>
      <c r="E13" s="22">
        <f>'Dia 0'!E13</f>
        <v>40.299999999999997</v>
      </c>
      <c r="F13" s="22">
        <f>'Dia 0'!F13</f>
        <v>12.39</v>
      </c>
      <c r="G13" s="22">
        <f>'Dia 0'!H13</f>
        <v>3740</v>
      </c>
      <c r="H13" s="22">
        <f>'Dia 0'!$M13</f>
        <v>1339.6302250000001</v>
      </c>
    </row>
    <row r="14" spans="1:11" ht="15.75" customHeight="1" x14ac:dyDescent="0.2">
      <c r="B14" s="81"/>
      <c r="C14" s="20">
        <v>100</v>
      </c>
      <c r="D14" s="22">
        <f>'Dia 0'!D14</f>
        <v>9.4600000000000009</v>
      </c>
      <c r="E14" s="22">
        <f>'Dia 0'!E14</f>
        <v>46.5</v>
      </c>
      <c r="F14" s="22">
        <f>'Dia 0'!F14</f>
        <v>16.02</v>
      </c>
      <c r="G14" s="22">
        <f>'Dia 0'!H14</f>
        <v>4920</v>
      </c>
      <c r="H14" s="22">
        <f>'Dia 0'!$M14</f>
        <v>1583.9071750000001</v>
      </c>
    </row>
    <row r="15" spans="1:11" ht="15.75" customHeight="1" x14ac:dyDescent="0.2">
      <c r="B15" s="95"/>
      <c r="C15" s="81"/>
      <c r="D15" s="99"/>
      <c r="E15" s="85"/>
      <c r="F15" s="85"/>
      <c r="G15" s="85"/>
      <c r="H15" s="93"/>
    </row>
    <row r="16" spans="1:11" ht="15.75" customHeight="1" x14ac:dyDescent="0.2">
      <c r="B16" s="89" t="s">
        <v>18</v>
      </c>
      <c r="C16" s="18">
        <v>0</v>
      </c>
      <c r="D16" s="22">
        <f>'Dia 0'!D16</f>
        <v>8.1199999999999992</v>
      </c>
      <c r="E16" s="22">
        <f>'Dia 0'!E16</f>
        <v>0</v>
      </c>
      <c r="F16" s="22">
        <f>'Dia 0'!F16</f>
        <v>0</v>
      </c>
      <c r="G16" s="22">
        <f>'Dia 0'!H16</f>
        <v>0</v>
      </c>
      <c r="H16" s="22">
        <f>'Dia 0'!$M18</f>
        <v>1005.7850599999999</v>
      </c>
    </row>
    <row r="17" spans="2:8" ht="15.75" customHeight="1" x14ac:dyDescent="0.2">
      <c r="B17" s="88"/>
      <c r="C17" s="18">
        <v>25</v>
      </c>
      <c r="D17" s="22">
        <f>'Dia 0'!D17</f>
        <v>8.07</v>
      </c>
      <c r="E17" s="22">
        <f>'Dia 0'!E17</f>
        <v>22.9</v>
      </c>
      <c r="F17" s="22">
        <f>'Dia 0'!F17</f>
        <v>7.65</v>
      </c>
      <c r="G17" s="22">
        <f>'Dia 0'!H17</f>
        <v>1280</v>
      </c>
      <c r="H17" s="22">
        <f>'Dia 0'!$M19</f>
        <v>2219.0272450000002</v>
      </c>
    </row>
    <row r="18" spans="2:8" ht="15.75" customHeight="1" x14ac:dyDescent="0.2">
      <c r="B18" s="88"/>
      <c r="C18" s="18">
        <v>50</v>
      </c>
      <c r="D18" s="22">
        <f>'Dia 0'!D18</f>
        <v>8.01</v>
      </c>
      <c r="E18" s="22">
        <f>'Dia 0'!E18</f>
        <v>39.9</v>
      </c>
      <c r="F18" s="22">
        <f>'Dia 0'!F18</f>
        <v>13.53</v>
      </c>
      <c r="G18" s="22">
        <f>'Dia 0'!H18</f>
        <v>2370</v>
      </c>
      <c r="H18" s="22">
        <f>'Dia 0'!$M20</f>
        <v>2430.7339349999997</v>
      </c>
    </row>
    <row r="19" spans="2:8" ht="15.75" customHeight="1" x14ac:dyDescent="0.2">
      <c r="B19" s="88"/>
      <c r="C19" s="18">
        <v>75</v>
      </c>
      <c r="D19" s="22">
        <f>'Dia 0'!D19</f>
        <v>7.91</v>
      </c>
      <c r="E19" s="22">
        <f>'Dia 0'!E19</f>
        <v>142</v>
      </c>
      <c r="F19" s="22">
        <f>'Dia 0'!F19</f>
        <v>28.84</v>
      </c>
      <c r="G19" s="22">
        <f>'Dia 0'!H19</f>
        <v>5360</v>
      </c>
      <c r="H19" s="22">
        <f>'Dia 0'!$M21</f>
        <v>0</v>
      </c>
    </row>
    <row r="20" spans="2:8" ht="15.75" customHeight="1" x14ac:dyDescent="0.2">
      <c r="B20" s="81"/>
      <c r="C20" s="20">
        <v>100</v>
      </c>
      <c r="D20" s="22">
        <f>'Dia 0'!D20</f>
        <v>7.91</v>
      </c>
      <c r="E20" s="22">
        <f>'Dia 0'!E20</f>
        <v>233</v>
      </c>
      <c r="F20" s="22">
        <f>'Dia 0'!F20</f>
        <v>31.9</v>
      </c>
      <c r="G20" s="22">
        <f>'Dia 0'!H20</f>
        <v>6520</v>
      </c>
      <c r="H20" s="22">
        <f>'Dia 0'!$M22</f>
        <v>-3.8929999999999998</v>
      </c>
    </row>
    <row r="21" spans="2:8" ht="15.75" customHeight="1" x14ac:dyDescent="0.2">
      <c r="B21" s="91"/>
      <c r="C21" s="81"/>
      <c r="D21" s="99"/>
      <c r="E21" s="85"/>
      <c r="F21" s="85"/>
      <c r="G21" s="85"/>
      <c r="H21" s="93"/>
    </row>
    <row r="22" spans="2:8" ht="15.75" customHeight="1" x14ac:dyDescent="0.2">
      <c r="B22" s="90" t="s">
        <v>19</v>
      </c>
      <c r="C22" s="18">
        <v>0</v>
      </c>
      <c r="D22" s="22">
        <f>'Dia 0'!D22</f>
        <v>8.1199999999999992</v>
      </c>
      <c r="E22" s="22">
        <f>'Dia 0'!E22</f>
        <v>0</v>
      </c>
      <c r="F22" s="22">
        <f>'Dia 0'!F22</f>
        <v>0</v>
      </c>
      <c r="G22" s="22">
        <f>'Dia 0'!H22</f>
        <v>0</v>
      </c>
      <c r="H22" s="22">
        <f>'Dia 0'!$M26</f>
        <v>2430.7339349999997</v>
      </c>
    </row>
    <row r="23" spans="2:8" ht="15.75" customHeight="1" x14ac:dyDescent="0.2">
      <c r="B23" s="88"/>
      <c r="C23" s="18">
        <v>25</v>
      </c>
      <c r="D23" s="22">
        <f>'Dia 0'!D23</f>
        <v>8.07</v>
      </c>
      <c r="E23" s="22">
        <f>'Dia 0'!E23</f>
        <v>22.9</v>
      </c>
      <c r="F23" s="22">
        <f>'Dia 0'!F23</f>
        <v>7.65</v>
      </c>
      <c r="G23" s="22">
        <f>'Dia 0'!H23</f>
        <v>1280</v>
      </c>
      <c r="H23" s="22">
        <f>'Dia 0'!$M27</f>
        <v>0</v>
      </c>
    </row>
    <row r="24" spans="2:8" ht="15.75" customHeight="1" x14ac:dyDescent="0.2">
      <c r="B24" s="88"/>
      <c r="C24" s="18">
        <v>50</v>
      </c>
      <c r="D24" s="22">
        <f>'Dia 0'!D24</f>
        <v>8.01</v>
      </c>
      <c r="E24" s="22">
        <f>'Dia 0'!E24</f>
        <v>39.9</v>
      </c>
      <c r="F24" s="22">
        <f>'Dia 0'!F24</f>
        <v>13.53</v>
      </c>
      <c r="G24" s="22">
        <f>'Dia 0'!H24</f>
        <v>2370</v>
      </c>
      <c r="H24" s="22">
        <f>'Dia 0'!$M28</f>
        <v>0</v>
      </c>
    </row>
    <row r="25" spans="2:8" ht="15.75" customHeight="1" x14ac:dyDescent="0.2">
      <c r="B25" s="88"/>
      <c r="C25" s="18">
        <v>75</v>
      </c>
      <c r="D25" s="22">
        <f>'Dia 0'!D25</f>
        <v>7.91</v>
      </c>
      <c r="E25" s="22">
        <f>'Dia 0'!E25</f>
        <v>142</v>
      </c>
      <c r="F25" s="22">
        <f>'Dia 0'!F25</f>
        <v>28.84</v>
      </c>
      <c r="G25" s="22">
        <f>'Dia 0'!H25</f>
        <v>5360</v>
      </c>
      <c r="H25" s="22">
        <f>'Dia 0'!$M29</f>
        <v>0</v>
      </c>
    </row>
    <row r="26" spans="2:8" ht="15.75" customHeight="1" x14ac:dyDescent="0.2">
      <c r="B26" s="81"/>
      <c r="C26" s="20">
        <v>100</v>
      </c>
      <c r="D26" s="22">
        <f>'Dia 0'!D26</f>
        <v>7.91</v>
      </c>
      <c r="E26" s="22">
        <f>'Dia 0'!E26</f>
        <v>233</v>
      </c>
      <c r="F26" s="22">
        <f>'Dia 0'!F26</f>
        <v>31.9</v>
      </c>
      <c r="G26" s="22">
        <f>'Dia 0'!H26</f>
        <v>6520</v>
      </c>
      <c r="H26" s="22">
        <f>'Dia 0'!$M30</f>
        <v>0</v>
      </c>
    </row>
    <row r="27" spans="2:8" ht="15.75" customHeight="1" x14ac:dyDescent="0.2"/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6"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  <mergeCell ref="B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703125" defaultRowHeight="15" customHeight="1" x14ac:dyDescent="0.2"/>
  <cols>
    <col min="1" max="1" width="0.5703125" customWidth="1"/>
    <col min="5" max="5" width="14.5703125" customWidth="1"/>
    <col min="6" max="6" width="20.5703125" customWidth="1"/>
  </cols>
  <sheetData>
    <row r="1" spans="1:16" ht="5.25" customHeight="1" x14ac:dyDescent="0.2">
      <c r="A1" s="1" t="s">
        <v>17</v>
      </c>
    </row>
    <row r="2" spans="1:16" ht="15.75" customHeight="1" x14ac:dyDescent="0.2">
      <c r="B2" s="78" t="s">
        <v>1</v>
      </c>
      <c r="C2" s="79"/>
      <c r="D2" s="82" t="s">
        <v>2</v>
      </c>
      <c r="E2" s="82" t="s">
        <v>3</v>
      </c>
      <c r="F2" s="82" t="s">
        <v>4</v>
      </c>
      <c r="G2" s="84" t="s">
        <v>5</v>
      </c>
      <c r="H2" s="85"/>
      <c r="I2" s="86" t="s">
        <v>6</v>
      </c>
      <c r="J2" s="85"/>
      <c r="K2" s="85"/>
      <c r="L2" s="85"/>
      <c r="M2" s="85"/>
      <c r="N2" s="5"/>
      <c r="O2" s="5"/>
      <c r="P2" s="5"/>
    </row>
    <row r="3" spans="1:16" ht="15.75" customHeight="1" x14ac:dyDescent="0.2">
      <c r="B3" s="80"/>
      <c r="C3" s="81"/>
      <c r="D3" s="83"/>
      <c r="E3" s="83"/>
      <c r="F3" s="83"/>
      <c r="G3" s="7" t="s">
        <v>7</v>
      </c>
      <c r="H3" s="2" t="s">
        <v>8</v>
      </c>
      <c r="I3" s="8" t="s">
        <v>20</v>
      </c>
      <c r="J3" s="9" t="s">
        <v>21</v>
      </c>
      <c r="K3" s="10" t="s">
        <v>11</v>
      </c>
      <c r="L3" s="10" t="s">
        <v>8</v>
      </c>
      <c r="M3" s="11" t="s">
        <v>12</v>
      </c>
      <c r="N3" s="5"/>
      <c r="O3" s="5"/>
      <c r="P3" s="5"/>
    </row>
    <row r="4" spans="1:16" ht="15.75" customHeight="1" x14ac:dyDescent="0.2">
      <c r="B4" s="87" t="s">
        <v>13</v>
      </c>
      <c r="C4" s="12">
        <v>0</v>
      </c>
      <c r="D4" s="13">
        <v>7.85</v>
      </c>
      <c r="E4" s="13">
        <v>8.67</v>
      </c>
      <c r="F4" s="13">
        <v>44.1</v>
      </c>
      <c r="G4" s="13">
        <v>96</v>
      </c>
      <c r="H4" s="13">
        <f>G4</f>
        <v>96</v>
      </c>
      <c r="I4" s="14">
        <v>0.06</v>
      </c>
      <c r="J4" s="15">
        <v>4.8000000000000001E-2</v>
      </c>
      <c r="K4" s="14">
        <f t="shared" ref="K4:K8" si="0">AVERAGE(I4:J4)</f>
        <v>5.3999999999999999E-2</v>
      </c>
      <c r="L4" s="14">
        <f>K4</f>
        <v>5.3999999999999999E-2</v>
      </c>
      <c r="M4" s="15">
        <f t="shared" ref="M4:M8" si="1">(814.2565*L4) - 3.893</f>
        <v>40.076850999999998</v>
      </c>
      <c r="N4" s="5"/>
      <c r="O4" s="5"/>
      <c r="P4" s="5"/>
    </row>
    <row r="5" spans="1:16" ht="15.75" customHeight="1" x14ac:dyDescent="0.2">
      <c r="B5" s="88"/>
      <c r="C5" s="18">
        <v>25</v>
      </c>
      <c r="D5" s="13">
        <v>9.09</v>
      </c>
      <c r="E5" s="13">
        <v>24.4</v>
      </c>
      <c r="F5" s="13">
        <v>4.3499999999999996</v>
      </c>
      <c r="G5" s="13">
        <v>107</v>
      </c>
      <c r="H5" s="13">
        <f>G5*5</f>
        <v>535</v>
      </c>
      <c r="I5" s="14">
        <v>0.106</v>
      </c>
      <c r="J5" s="15">
        <v>9.6000000000000002E-2</v>
      </c>
      <c r="K5" s="14">
        <f t="shared" si="0"/>
        <v>0.10100000000000001</v>
      </c>
      <c r="L5" s="14">
        <f>K5*5</f>
        <v>0.505</v>
      </c>
      <c r="M5" s="15">
        <f t="shared" si="1"/>
        <v>407.3065325</v>
      </c>
      <c r="N5" s="5"/>
      <c r="O5" s="5"/>
      <c r="P5" s="5"/>
    </row>
    <row r="6" spans="1:16" ht="15.75" customHeight="1" x14ac:dyDescent="0.2">
      <c r="B6" s="88"/>
      <c r="C6" s="18">
        <v>50</v>
      </c>
      <c r="D6" s="19">
        <v>90.9</v>
      </c>
      <c r="E6" s="19">
        <v>36.299999999999997</v>
      </c>
      <c r="F6" s="19">
        <v>8.4600000000000009</v>
      </c>
      <c r="G6" s="19">
        <v>205</v>
      </c>
      <c r="H6" s="13">
        <f t="shared" ref="H6:H8" si="2">G6*10</f>
        <v>2050</v>
      </c>
      <c r="I6" s="15">
        <v>0.124</v>
      </c>
      <c r="J6" s="15">
        <v>0.113</v>
      </c>
      <c r="K6" s="14">
        <f t="shared" si="0"/>
        <v>0.11849999999999999</v>
      </c>
      <c r="L6" s="14">
        <f t="shared" ref="L6:L8" si="3">K6*10</f>
        <v>1.1850000000000001</v>
      </c>
      <c r="M6" s="15">
        <f t="shared" si="1"/>
        <v>961.00095249999993</v>
      </c>
      <c r="N6" s="5"/>
      <c r="O6" s="5"/>
      <c r="P6" s="5"/>
    </row>
    <row r="7" spans="1:16" ht="15.75" customHeight="1" x14ac:dyDescent="0.2">
      <c r="B7" s="88"/>
      <c r="C7" s="18">
        <v>75</v>
      </c>
      <c r="D7" s="19">
        <v>9.1199999999999992</v>
      </c>
      <c r="E7" s="19">
        <v>47.6</v>
      </c>
      <c r="F7" s="19">
        <v>12.08</v>
      </c>
      <c r="G7" s="19">
        <v>162</v>
      </c>
      <c r="H7" s="13">
        <f t="shared" si="2"/>
        <v>1620</v>
      </c>
      <c r="I7" s="15">
        <v>7.8E-2</v>
      </c>
      <c r="J7" s="15">
        <v>7.3999999999999996E-2</v>
      </c>
      <c r="K7" s="14">
        <f t="shared" si="0"/>
        <v>7.5999999999999998E-2</v>
      </c>
      <c r="L7" s="14">
        <f t="shared" si="3"/>
        <v>0.76</v>
      </c>
      <c r="M7" s="15">
        <f t="shared" si="1"/>
        <v>614.94193999999993</v>
      </c>
      <c r="N7" s="5"/>
      <c r="O7" s="5"/>
      <c r="P7" s="5"/>
    </row>
    <row r="8" spans="1:16" ht="15.75" customHeight="1" x14ac:dyDescent="0.2">
      <c r="B8" s="81"/>
      <c r="C8" s="20">
        <v>100</v>
      </c>
      <c r="D8" s="19">
        <v>9.15</v>
      </c>
      <c r="E8" s="19">
        <v>56.5</v>
      </c>
      <c r="F8" s="19">
        <v>14.9</v>
      </c>
      <c r="G8" s="19">
        <v>205</v>
      </c>
      <c r="H8" s="13">
        <f t="shared" si="2"/>
        <v>2050</v>
      </c>
      <c r="I8" s="15">
        <v>0.1</v>
      </c>
      <c r="J8" s="15">
        <v>0.10299999999999999</v>
      </c>
      <c r="K8" s="14">
        <f t="shared" si="0"/>
        <v>0.10150000000000001</v>
      </c>
      <c r="L8" s="14">
        <f t="shared" si="3"/>
        <v>1.0150000000000001</v>
      </c>
      <c r="M8" s="15">
        <f t="shared" si="1"/>
        <v>822.57734750000009</v>
      </c>
      <c r="N8" s="5"/>
      <c r="O8" s="5"/>
      <c r="P8" s="5"/>
    </row>
    <row r="9" spans="1:16" ht="15.75" customHeight="1" x14ac:dyDescent="0.2">
      <c r="B9" s="91"/>
      <c r="C9" s="81"/>
      <c r="D9" s="92"/>
      <c r="E9" s="85"/>
      <c r="F9" s="85"/>
      <c r="G9" s="85"/>
      <c r="H9" s="85"/>
      <c r="I9" s="85"/>
      <c r="J9" s="85"/>
      <c r="K9" s="85"/>
      <c r="L9" s="85"/>
      <c r="M9" s="93"/>
      <c r="N9" s="5"/>
      <c r="O9" s="5"/>
      <c r="P9" s="5"/>
    </row>
    <row r="10" spans="1:16" ht="15.75" customHeight="1" x14ac:dyDescent="0.2">
      <c r="B10" s="94" t="s">
        <v>14</v>
      </c>
      <c r="C10" s="18">
        <v>0</v>
      </c>
      <c r="D10" s="19">
        <v>7.77</v>
      </c>
      <c r="E10" s="19">
        <v>1.88</v>
      </c>
      <c r="F10" s="19">
        <v>52.5</v>
      </c>
      <c r="G10" s="19">
        <v>17</v>
      </c>
      <c r="H10" s="19">
        <f>G10</f>
        <v>17</v>
      </c>
      <c r="I10" s="15">
        <v>0.02</v>
      </c>
      <c r="J10" s="15">
        <v>1.2999999999999999E-2</v>
      </c>
      <c r="K10" s="14">
        <f t="shared" ref="K10:K14" si="4">AVERAGE(I10:J10)</f>
        <v>1.6500000000000001E-2</v>
      </c>
      <c r="L10" s="14">
        <f>K10</f>
        <v>1.6500000000000001E-2</v>
      </c>
      <c r="M10" s="15">
        <f t="shared" ref="M10:M14" si="5">(814.2565*L10) - 3.893</f>
        <v>9.5422322500000014</v>
      </c>
      <c r="N10" s="5"/>
      <c r="O10" s="5"/>
      <c r="P10" s="5"/>
    </row>
    <row r="11" spans="1:16" ht="15.75" customHeight="1" x14ac:dyDescent="0.2">
      <c r="B11" s="88"/>
      <c r="C11" s="18">
        <v>25</v>
      </c>
      <c r="D11" s="19">
        <v>8.98</v>
      </c>
      <c r="E11" s="19">
        <v>23.5</v>
      </c>
      <c r="F11" s="19">
        <v>4.1399999999999997</v>
      </c>
      <c r="G11" s="19">
        <v>98</v>
      </c>
      <c r="H11" s="19">
        <f>G11*5</f>
        <v>490</v>
      </c>
      <c r="I11" s="15">
        <v>9.0999999999999998E-2</v>
      </c>
      <c r="J11" s="15">
        <v>0.09</v>
      </c>
      <c r="K11" s="14">
        <f t="shared" si="4"/>
        <v>9.0499999999999997E-2</v>
      </c>
      <c r="L11" s="14">
        <f>K11*5</f>
        <v>0.45250000000000001</v>
      </c>
      <c r="M11" s="15">
        <f t="shared" si="5"/>
        <v>364.55806625000002</v>
      </c>
    </row>
    <row r="12" spans="1:16" ht="15.75" customHeight="1" x14ac:dyDescent="0.2">
      <c r="B12" s="88"/>
      <c r="C12" s="18">
        <v>50</v>
      </c>
      <c r="D12" s="19">
        <v>9.1</v>
      </c>
      <c r="E12" s="19">
        <v>39.9</v>
      </c>
      <c r="F12" s="19">
        <v>8.44</v>
      </c>
      <c r="G12" s="19">
        <v>212</v>
      </c>
      <c r="H12" s="19">
        <f t="shared" ref="H12:H14" si="6">G12*10</f>
        <v>2120</v>
      </c>
      <c r="I12" s="15">
        <v>0.10299999999999999</v>
      </c>
      <c r="J12" s="15">
        <v>0.104</v>
      </c>
      <c r="K12" s="14">
        <f t="shared" si="4"/>
        <v>0.10349999999999999</v>
      </c>
      <c r="L12" s="14">
        <f t="shared" ref="L12:L14" si="7">K12*10</f>
        <v>1.0349999999999999</v>
      </c>
      <c r="M12" s="15">
        <f t="shared" si="5"/>
        <v>838.86247749999984</v>
      </c>
    </row>
    <row r="13" spans="1:16" ht="15.75" customHeight="1" x14ac:dyDescent="0.2">
      <c r="B13" s="88"/>
      <c r="C13" s="18">
        <v>75</v>
      </c>
      <c r="D13" s="19">
        <v>9.1300000000000008</v>
      </c>
      <c r="E13" s="19">
        <v>53.4</v>
      </c>
      <c r="F13" s="19">
        <v>12.03</v>
      </c>
      <c r="G13" s="19">
        <v>172</v>
      </c>
      <c r="H13" s="19">
        <f t="shared" si="6"/>
        <v>1720</v>
      </c>
      <c r="I13" s="15">
        <v>7.1999999999999995E-2</v>
      </c>
      <c r="J13" s="15">
        <v>8.4000000000000005E-2</v>
      </c>
      <c r="K13" s="14">
        <f t="shared" si="4"/>
        <v>7.8E-2</v>
      </c>
      <c r="L13" s="14">
        <f t="shared" si="7"/>
        <v>0.78</v>
      </c>
      <c r="M13" s="15">
        <f t="shared" si="5"/>
        <v>631.22706999999991</v>
      </c>
    </row>
    <row r="14" spans="1:16" ht="15.75" customHeight="1" x14ac:dyDescent="0.2">
      <c r="B14" s="81"/>
      <c r="C14" s="20">
        <v>100</v>
      </c>
      <c r="D14" s="19">
        <v>9.16</v>
      </c>
      <c r="E14" s="19">
        <v>62</v>
      </c>
      <c r="F14" s="19">
        <v>15.2</v>
      </c>
      <c r="G14" s="19">
        <v>211</v>
      </c>
      <c r="H14" s="19">
        <f t="shared" si="6"/>
        <v>2110</v>
      </c>
      <c r="I14" s="15">
        <v>9.9000000000000005E-2</v>
      </c>
      <c r="J14" s="15">
        <v>9.8000000000000004E-2</v>
      </c>
      <c r="K14" s="14">
        <f t="shared" si="4"/>
        <v>9.8500000000000004E-2</v>
      </c>
      <c r="L14" s="14">
        <f t="shared" si="7"/>
        <v>0.9850000000000001</v>
      </c>
      <c r="M14" s="15">
        <f t="shared" si="5"/>
        <v>798.1496525</v>
      </c>
    </row>
    <row r="15" spans="1:16" ht="15.75" customHeight="1" x14ac:dyDescent="0.2">
      <c r="B15" s="95"/>
      <c r="C15" s="81"/>
      <c r="D15" s="92"/>
      <c r="E15" s="85"/>
      <c r="F15" s="85"/>
      <c r="G15" s="85"/>
      <c r="H15" s="85"/>
      <c r="I15" s="85"/>
      <c r="J15" s="85"/>
      <c r="K15" s="85"/>
      <c r="L15" s="85"/>
      <c r="M15" s="93"/>
    </row>
    <row r="16" spans="1:16" ht="15.75" customHeight="1" x14ac:dyDescent="0.2">
      <c r="B16" s="89" t="s">
        <v>15</v>
      </c>
      <c r="C16" s="18">
        <v>0</v>
      </c>
      <c r="D16" s="19">
        <v>7.85</v>
      </c>
      <c r="E16" s="19">
        <v>8.67</v>
      </c>
      <c r="F16" s="19">
        <v>44.1</v>
      </c>
      <c r="G16" s="19">
        <v>96</v>
      </c>
      <c r="H16" s="19">
        <f>G16</f>
        <v>96</v>
      </c>
      <c r="I16" s="15">
        <v>5.5E-2</v>
      </c>
      <c r="J16" s="15">
        <v>6.4000000000000001E-2</v>
      </c>
      <c r="K16" s="14">
        <f t="shared" ref="K16:K20" si="8">AVERAGE(I16:J16)</f>
        <v>5.9499999999999997E-2</v>
      </c>
      <c r="L16" s="14">
        <f>K16</f>
        <v>5.9499999999999997E-2</v>
      </c>
      <c r="M16" s="15">
        <f t="shared" ref="M16:M20" si="9">(814.2565*L16) - 3.893</f>
        <v>44.555261749999993</v>
      </c>
    </row>
    <row r="17" spans="2:13" ht="15.75" customHeight="1" x14ac:dyDescent="0.2">
      <c r="B17" s="88"/>
      <c r="C17" s="18">
        <v>25</v>
      </c>
      <c r="D17" s="19">
        <v>8.9700000000000006</v>
      </c>
      <c r="E17" s="19">
        <v>46.6</v>
      </c>
      <c r="F17" s="19">
        <v>6.6</v>
      </c>
      <c r="G17" s="19">
        <v>177</v>
      </c>
      <c r="H17" s="19">
        <f>G17*5</f>
        <v>885</v>
      </c>
      <c r="I17" s="15">
        <v>0.13500000000000001</v>
      </c>
      <c r="J17" s="15">
        <v>0.13</v>
      </c>
      <c r="K17" s="14">
        <f t="shared" si="8"/>
        <v>0.13250000000000001</v>
      </c>
      <c r="L17" s="14">
        <f>K17*5</f>
        <v>0.66250000000000009</v>
      </c>
      <c r="M17" s="15">
        <f t="shared" si="9"/>
        <v>535.55193125000005</v>
      </c>
    </row>
    <row r="18" spans="2:13" ht="15.75" customHeight="1" x14ac:dyDescent="0.2">
      <c r="B18" s="88"/>
      <c r="C18" s="18">
        <v>50</v>
      </c>
      <c r="D18" s="19">
        <v>9.02</v>
      </c>
      <c r="E18" s="19">
        <v>83.4</v>
      </c>
      <c r="F18" s="19">
        <v>13.75</v>
      </c>
      <c r="G18" s="19">
        <v>364</v>
      </c>
      <c r="H18" s="19">
        <f t="shared" ref="H18:H19" si="10">G18*10</f>
        <v>3640</v>
      </c>
      <c r="I18" s="15">
        <v>0.14299999999999999</v>
      </c>
      <c r="J18" s="15">
        <v>0.13800000000000001</v>
      </c>
      <c r="K18" s="14">
        <f t="shared" si="8"/>
        <v>0.14050000000000001</v>
      </c>
      <c r="L18" s="14">
        <f t="shared" ref="L18:L20" si="11">K18*10</f>
        <v>1.4050000000000002</v>
      </c>
      <c r="M18" s="15">
        <f t="shared" si="9"/>
        <v>1140.1373825000001</v>
      </c>
    </row>
    <row r="19" spans="2:13" ht="15.75" customHeight="1" x14ac:dyDescent="0.2">
      <c r="B19" s="88"/>
      <c r="C19" s="18">
        <v>75</v>
      </c>
      <c r="D19" s="19">
        <v>9.01</v>
      </c>
      <c r="E19" s="19">
        <v>72.099999999999994</v>
      </c>
      <c r="F19" s="19">
        <v>15.7</v>
      </c>
      <c r="G19" s="19">
        <v>207</v>
      </c>
      <c r="H19" s="19">
        <f t="shared" si="10"/>
        <v>2070</v>
      </c>
      <c r="I19" s="15">
        <v>8.3000000000000004E-2</v>
      </c>
      <c r="J19" s="15">
        <v>7.9000000000000001E-2</v>
      </c>
      <c r="K19" s="14">
        <f t="shared" si="8"/>
        <v>8.1000000000000003E-2</v>
      </c>
      <c r="L19" s="14">
        <f t="shared" si="11"/>
        <v>0.81</v>
      </c>
      <c r="M19" s="15">
        <f t="shared" si="9"/>
        <v>655.654765</v>
      </c>
    </row>
    <row r="20" spans="2:13" ht="15.75" customHeight="1" x14ac:dyDescent="0.2">
      <c r="B20" s="81"/>
      <c r="C20" s="20">
        <v>100</v>
      </c>
      <c r="D20" s="19">
        <v>8.9600000000000009</v>
      </c>
      <c r="E20" s="19">
        <v>184</v>
      </c>
      <c r="F20" s="19">
        <v>23.44</v>
      </c>
      <c r="G20" s="19">
        <v>347</v>
      </c>
      <c r="H20" s="19">
        <f>G20*20</f>
        <v>6940</v>
      </c>
      <c r="I20" s="15">
        <v>0.14099999999999999</v>
      </c>
      <c r="J20" s="15">
        <v>0.157</v>
      </c>
      <c r="K20" s="14">
        <f t="shared" si="8"/>
        <v>0.14899999999999999</v>
      </c>
      <c r="L20" s="14">
        <f t="shared" si="11"/>
        <v>1.49</v>
      </c>
      <c r="M20" s="15">
        <f t="shared" si="9"/>
        <v>1209.3491849999998</v>
      </c>
    </row>
    <row r="21" spans="2:13" ht="15.75" customHeight="1" x14ac:dyDescent="0.2">
      <c r="B21" s="91"/>
      <c r="C21" s="81"/>
      <c r="D21" s="92"/>
      <c r="E21" s="85"/>
      <c r="F21" s="85"/>
      <c r="G21" s="85"/>
      <c r="H21" s="85"/>
      <c r="I21" s="85"/>
      <c r="J21" s="85"/>
      <c r="K21" s="85"/>
      <c r="L21" s="85"/>
      <c r="M21" s="93"/>
    </row>
    <row r="22" spans="2:13" ht="15.75" customHeight="1" x14ac:dyDescent="0.2">
      <c r="B22" s="90" t="s">
        <v>16</v>
      </c>
      <c r="C22" s="18">
        <v>0</v>
      </c>
      <c r="D22" s="19">
        <v>7.77</v>
      </c>
      <c r="E22" s="19">
        <v>1.88</v>
      </c>
      <c r="F22" s="19">
        <v>52.5</v>
      </c>
      <c r="G22" s="19">
        <v>17</v>
      </c>
      <c r="H22" s="19">
        <f>G22</f>
        <v>17</v>
      </c>
      <c r="I22" s="15">
        <v>3.4000000000000002E-2</v>
      </c>
      <c r="J22" s="15">
        <v>1.4E-2</v>
      </c>
      <c r="K22" s="14">
        <f t="shared" ref="K22:K26" si="12">AVERAGE(I22:J22)</f>
        <v>2.4E-2</v>
      </c>
      <c r="L22" s="14">
        <f>K22</f>
        <v>2.4E-2</v>
      </c>
      <c r="M22" s="15">
        <f t="shared" ref="M22:M26" si="13">(814.2565*L22) - 3.893</f>
        <v>15.649155999999998</v>
      </c>
    </row>
    <row r="23" spans="2:13" ht="15.75" customHeight="1" x14ac:dyDescent="0.2">
      <c r="B23" s="88"/>
      <c r="C23" s="18">
        <v>25</v>
      </c>
      <c r="D23" s="19" t="s">
        <v>22</v>
      </c>
      <c r="E23" s="19">
        <v>38.700000000000003</v>
      </c>
      <c r="F23" s="19">
        <v>6.63</v>
      </c>
      <c r="G23" s="19">
        <v>164</v>
      </c>
      <c r="H23" s="19">
        <f>G23*5</f>
        <v>820</v>
      </c>
      <c r="I23" s="15">
        <v>0.13200000000000001</v>
      </c>
      <c r="J23" s="15">
        <v>0.122</v>
      </c>
      <c r="K23" s="14">
        <f t="shared" si="12"/>
        <v>0.127</v>
      </c>
      <c r="L23" s="14">
        <f>K23*5</f>
        <v>0.63500000000000001</v>
      </c>
      <c r="M23" s="15">
        <f t="shared" si="13"/>
        <v>513.15987749999999</v>
      </c>
    </row>
    <row r="24" spans="2:13" ht="15.75" customHeight="1" x14ac:dyDescent="0.2">
      <c r="B24" s="88"/>
      <c r="C24" s="18">
        <v>50</v>
      </c>
      <c r="D24" s="19">
        <v>9.02</v>
      </c>
      <c r="E24" s="19">
        <v>84.3</v>
      </c>
      <c r="F24" s="19">
        <v>13.9</v>
      </c>
      <c r="G24" s="19">
        <v>380</v>
      </c>
      <c r="H24" s="19">
        <f t="shared" ref="H24:H26" si="14">G24*10</f>
        <v>3800</v>
      </c>
      <c r="I24" s="15">
        <v>0.153</v>
      </c>
      <c r="J24" s="15">
        <v>0.14699999999999999</v>
      </c>
      <c r="K24" s="14">
        <f t="shared" si="12"/>
        <v>0.15</v>
      </c>
      <c r="L24" s="14">
        <f t="shared" ref="L24:L26" si="15">K24*10</f>
        <v>1.5</v>
      </c>
      <c r="M24" s="15">
        <f t="shared" si="13"/>
        <v>1217.4917499999999</v>
      </c>
    </row>
    <row r="25" spans="2:13" ht="15.75" customHeight="1" x14ac:dyDescent="0.2">
      <c r="B25" s="88"/>
      <c r="C25" s="18">
        <v>75</v>
      </c>
      <c r="D25" s="19">
        <v>9.01</v>
      </c>
      <c r="E25" s="19">
        <v>95.3</v>
      </c>
      <c r="F25" s="19">
        <v>20.87</v>
      </c>
      <c r="G25" s="19">
        <v>278</v>
      </c>
      <c r="H25" s="19">
        <f t="shared" si="14"/>
        <v>2780</v>
      </c>
      <c r="I25" s="15">
        <v>0.126</v>
      </c>
      <c r="J25" s="15">
        <v>0.13300000000000001</v>
      </c>
      <c r="K25" s="14">
        <f t="shared" si="12"/>
        <v>0.1295</v>
      </c>
      <c r="L25" s="14">
        <f t="shared" si="15"/>
        <v>1.2949999999999999</v>
      </c>
      <c r="M25" s="15">
        <f t="shared" si="13"/>
        <v>1050.5691674999998</v>
      </c>
    </row>
    <row r="26" spans="2:13" ht="15.75" customHeight="1" x14ac:dyDescent="0.2">
      <c r="B26" s="81"/>
      <c r="C26" s="20">
        <v>100</v>
      </c>
      <c r="D26" s="19">
        <v>9</v>
      </c>
      <c r="E26" s="19">
        <v>96.7</v>
      </c>
      <c r="F26" s="19">
        <v>20.91</v>
      </c>
      <c r="G26" s="19">
        <v>289</v>
      </c>
      <c r="H26" s="19">
        <f t="shared" si="14"/>
        <v>2890</v>
      </c>
      <c r="I26" s="15">
        <v>0.129</v>
      </c>
      <c r="J26" s="15">
        <v>0.129</v>
      </c>
      <c r="K26" s="14">
        <f t="shared" si="12"/>
        <v>0.129</v>
      </c>
      <c r="L26" s="14">
        <f t="shared" si="15"/>
        <v>1.29</v>
      </c>
      <c r="M26" s="15">
        <f t="shared" si="13"/>
        <v>1046.497885</v>
      </c>
    </row>
    <row r="27" spans="2:13" ht="15.75" customHeight="1" x14ac:dyDescent="0.2"/>
    <row r="28" spans="2:13" ht="15.75" customHeight="1" x14ac:dyDescent="0.2"/>
    <row r="29" spans="2:13" ht="15.75" customHeight="1" x14ac:dyDescent="0.2"/>
    <row r="30" spans="2:13" ht="15.75" customHeight="1" x14ac:dyDescent="0.2"/>
    <row r="31" spans="2:13" ht="15.75" customHeight="1" x14ac:dyDescent="0.2"/>
    <row r="32" spans="2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6"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  <mergeCell ref="B2:C3"/>
    <mergeCell ref="D2:D3"/>
    <mergeCell ref="E2:E3"/>
    <mergeCell ref="F2:F3"/>
    <mergeCell ref="G2:H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703125" defaultRowHeight="15" customHeight="1" x14ac:dyDescent="0.2"/>
  <cols>
    <col min="1" max="1" width="0.5703125" customWidth="1"/>
    <col min="5" max="5" width="14.5703125" customWidth="1"/>
    <col min="6" max="6" width="20.5703125" customWidth="1"/>
  </cols>
  <sheetData>
    <row r="1" spans="1:11" ht="5.25" customHeight="1" x14ac:dyDescent="0.2">
      <c r="A1" s="1" t="s">
        <v>17</v>
      </c>
    </row>
    <row r="2" spans="1:11" ht="15.75" customHeight="1" x14ac:dyDescent="0.2">
      <c r="B2" s="78" t="s">
        <v>1</v>
      </c>
      <c r="C2" s="79"/>
      <c r="D2" s="82" t="s">
        <v>2</v>
      </c>
      <c r="E2" s="82" t="s">
        <v>3</v>
      </c>
      <c r="F2" s="82" t="s">
        <v>4</v>
      </c>
      <c r="G2" s="96" t="s">
        <v>5</v>
      </c>
      <c r="H2" s="98" t="s">
        <v>6</v>
      </c>
      <c r="I2" s="5"/>
      <c r="J2" s="5"/>
      <c r="K2" s="5"/>
    </row>
    <row r="3" spans="1:11" ht="15.75" customHeight="1" x14ac:dyDescent="0.2">
      <c r="B3" s="80"/>
      <c r="C3" s="81"/>
      <c r="D3" s="83"/>
      <c r="E3" s="83"/>
      <c r="F3" s="83"/>
      <c r="G3" s="97"/>
      <c r="H3" s="83"/>
      <c r="I3" s="5"/>
      <c r="J3" s="5"/>
      <c r="K3" s="5"/>
    </row>
    <row r="4" spans="1:11" ht="15.75" customHeight="1" x14ac:dyDescent="0.2">
      <c r="B4" s="87" t="s">
        <v>13</v>
      </c>
      <c r="C4" s="12">
        <v>0</v>
      </c>
      <c r="D4" s="21">
        <f>'Dia 7'!D4</f>
        <v>7.85</v>
      </c>
      <c r="E4" s="21">
        <f>'Dia 7'!E4</f>
        <v>8.67</v>
      </c>
      <c r="F4" s="21">
        <f>'Dia 7'!F4</f>
        <v>44.1</v>
      </c>
      <c r="G4" s="21">
        <f>'Dia 7'!H4</f>
        <v>96</v>
      </c>
      <c r="H4" s="21">
        <f>'Dia 7'!M4</f>
        <v>40.076850999999998</v>
      </c>
      <c r="I4" s="5"/>
      <c r="J4" s="5"/>
      <c r="K4" s="5"/>
    </row>
    <row r="5" spans="1:11" ht="15.75" customHeight="1" x14ac:dyDescent="0.2">
      <c r="B5" s="88"/>
      <c r="C5" s="18">
        <v>25</v>
      </c>
      <c r="D5" s="21">
        <f>'Dia 7'!D5</f>
        <v>9.09</v>
      </c>
      <c r="E5" s="21">
        <f>'Dia 7'!E5</f>
        <v>24.4</v>
      </c>
      <c r="F5" s="21">
        <f>'Dia 7'!F5</f>
        <v>4.3499999999999996</v>
      </c>
      <c r="G5" s="21">
        <f>'Dia 7'!H5</f>
        <v>535</v>
      </c>
      <c r="H5" s="21">
        <f>'Dia 7'!M5</f>
        <v>407.3065325</v>
      </c>
      <c r="I5" s="5"/>
      <c r="J5" s="5"/>
      <c r="K5" s="5"/>
    </row>
    <row r="6" spans="1:11" ht="15.75" customHeight="1" x14ac:dyDescent="0.2">
      <c r="B6" s="88"/>
      <c r="C6" s="18">
        <v>50</v>
      </c>
      <c r="D6" s="21">
        <f>'Dia 7'!D6</f>
        <v>90.9</v>
      </c>
      <c r="E6" s="21">
        <f>'Dia 7'!E6</f>
        <v>36.299999999999997</v>
      </c>
      <c r="F6" s="21">
        <f>'Dia 7'!F6</f>
        <v>8.4600000000000009</v>
      </c>
      <c r="G6" s="21">
        <f>'Dia 7'!H6</f>
        <v>2050</v>
      </c>
      <c r="H6" s="21">
        <f>'Dia 7'!M6</f>
        <v>961.00095249999993</v>
      </c>
      <c r="I6" s="5"/>
      <c r="J6" s="5"/>
      <c r="K6" s="5"/>
    </row>
    <row r="7" spans="1:11" ht="15.75" customHeight="1" x14ac:dyDescent="0.2">
      <c r="B7" s="88"/>
      <c r="C7" s="18">
        <v>75</v>
      </c>
      <c r="D7" s="21">
        <f>'Dia 7'!D7</f>
        <v>9.1199999999999992</v>
      </c>
      <c r="E7" s="21">
        <f>'Dia 7'!E7</f>
        <v>47.6</v>
      </c>
      <c r="F7" s="21">
        <f>'Dia 7'!F7</f>
        <v>12.08</v>
      </c>
      <c r="G7" s="21">
        <f>'Dia 7'!H7</f>
        <v>1620</v>
      </c>
      <c r="H7" s="21">
        <f>'Dia 7'!M7</f>
        <v>614.94193999999993</v>
      </c>
      <c r="I7" s="5"/>
      <c r="J7" s="5"/>
      <c r="K7" s="5"/>
    </row>
    <row r="8" spans="1:11" ht="15.75" customHeight="1" x14ac:dyDescent="0.2">
      <c r="B8" s="81"/>
      <c r="C8" s="20">
        <v>100</v>
      </c>
      <c r="D8" s="21">
        <f>'Dia 7'!D8</f>
        <v>9.15</v>
      </c>
      <c r="E8" s="21">
        <f>'Dia 7'!E8</f>
        <v>56.5</v>
      </c>
      <c r="F8" s="21">
        <f>'Dia 7'!F8</f>
        <v>14.9</v>
      </c>
      <c r="G8" s="21">
        <f>'Dia 7'!H8</f>
        <v>2050</v>
      </c>
      <c r="H8" s="21">
        <f>'Dia 7'!M8</f>
        <v>822.57734750000009</v>
      </c>
      <c r="I8" s="5"/>
      <c r="J8" s="5"/>
      <c r="K8" s="5"/>
    </row>
    <row r="9" spans="1:11" ht="15.75" customHeight="1" x14ac:dyDescent="0.2">
      <c r="B9" s="91"/>
      <c r="C9" s="81"/>
      <c r="D9" s="99"/>
      <c r="E9" s="85"/>
      <c r="F9" s="85"/>
      <c r="G9" s="85"/>
      <c r="H9" s="93"/>
      <c r="I9" s="5"/>
      <c r="J9" s="5"/>
      <c r="K9" s="5"/>
    </row>
    <row r="10" spans="1:11" ht="15.75" customHeight="1" x14ac:dyDescent="0.2">
      <c r="B10" s="94" t="s">
        <v>14</v>
      </c>
      <c r="C10" s="18">
        <v>0</v>
      </c>
      <c r="D10" s="22">
        <f>'Dia 7'!D10</f>
        <v>7.77</v>
      </c>
      <c r="E10" s="22">
        <f>'Dia 7'!E10</f>
        <v>1.88</v>
      </c>
      <c r="F10" s="22">
        <f>'Dia 7'!F10</f>
        <v>52.5</v>
      </c>
      <c r="G10" s="22">
        <f>'Dia 7'!H10</f>
        <v>17</v>
      </c>
      <c r="H10" s="22">
        <f>'Dia 7'!M10</f>
        <v>9.5422322500000014</v>
      </c>
      <c r="I10" s="5"/>
      <c r="J10" s="5"/>
      <c r="K10" s="5"/>
    </row>
    <row r="11" spans="1:11" ht="15.75" customHeight="1" x14ac:dyDescent="0.2">
      <c r="B11" s="88"/>
      <c r="C11" s="18">
        <v>25</v>
      </c>
      <c r="D11" s="22">
        <f>'Dia 7'!D11</f>
        <v>8.98</v>
      </c>
      <c r="E11" s="22">
        <f>'Dia 7'!E11</f>
        <v>23.5</v>
      </c>
      <c r="F11" s="22">
        <f>'Dia 7'!F11</f>
        <v>4.1399999999999997</v>
      </c>
      <c r="G11" s="22">
        <f>'Dia 7'!H11</f>
        <v>490</v>
      </c>
      <c r="H11" s="22">
        <f>'Dia 7'!M11</f>
        <v>364.55806625000002</v>
      </c>
    </row>
    <row r="12" spans="1:11" ht="15.75" customHeight="1" x14ac:dyDescent="0.2">
      <c r="B12" s="88"/>
      <c r="C12" s="18">
        <v>50</v>
      </c>
      <c r="D12" s="22">
        <f>'Dia 7'!D12</f>
        <v>9.1</v>
      </c>
      <c r="E12" s="22">
        <f>'Dia 7'!E12</f>
        <v>39.9</v>
      </c>
      <c r="F12" s="22">
        <f>'Dia 7'!F12</f>
        <v>8.44</v>
      </c>
      <c r="G12" s="22">
        <f>'Dia 7'!H12</f>
        <v>2120</v>
      </c>
      <c r="H12" s="22">
        <f>'Dia 7'!M12</f>
        <v>838.86247749999984</v>
      </c>
    </row>
    <row r="13" spans="1:11" ht="15.75" customHeight="1" x14ac:dyDescent="0.2">
      <c r="B13" s="88"/>
      <c r="C13" s="18">
        <v>75</v>
      </c>
      <c r="D13" s="22">
        <f>'Dia 7'!D13</f>
        <v>9.1300000000000008</v>
      </c>
      <c r="E13" s="22">
        <f>'Dia 7'!E13</f>
        <v>53.4</v>
      </c>
      <c r="F13" s="22">
        <f>'Dia 7'!F13</f>
        <v>12.03</v>
      </c>
      <c r="G13" s="22">
        <f>'Dia 7'!H13</f>
        <v>1720</v>
      </c>
      <c r="H13" s="22">
        <f>'Dia 7'!M13</f>
        <v>631.22706999999991</v>
      </c>
    </row>
    <row r="14" spans="1:11" ht="15.75" customHeight="1" x14ac:dyDescent="0.2">
      <c r="B14" s="81"/>
      <c r="C14" s="20">
        <v>100</v>
      </c>
      <c r="D14" s="22">
        <f>'Dia 7'!D14</f>
        <v>9.16</v>
      </c>
      <c r="E14" s="22">
        <f>'Dia 7'!E14</f>
        <v>62</v>
      </c>
      <c r="F14" s="22">
        <f>'Dia 7'!F14</f>
        <v>15.2</v>
      </c>
      <c r="G14" s="22">
        <f>'Dia 7'!H14</f>
        <v>2110</v>
      </c>
      <c r="H14" s="22">
        <f>'Dia 7'!M14</f>
        <v>798.1496525</v>
      </c>
    </row>
    <row r="15" spans="1:11" ht="15.75" customHeight="1" x14ac:dyDescent="0.2">
      <c r="B15" s="95"/>
      <c r="C15" s="81"/>
      <c r="D15" s="99"/>
      <c r="E15" s="85"/>
      <c r="F15" s="85"/>
      <c r="G15" s="85"/>
      <c r="H15" s="93"/>
    </row>
    <row r="16" spans="1:11" ht="15.75" customHeight="1" x14ac:dyDescent="0.2">
      <c r="B16" s="89" t="s">
        <v>18</v>
      </c>
      <c r="C16" s="18">
        <v>0</v>
      </c>
      <c r="D16" s="22">
        <f>'Dia 7'!D16</f>
        <v>7.85</v>
      </c>
      <c r="E16" s="22">
        <f>'Dia 7'!E16</f>
        <v>8.67</v>
      </c>
      <c r="F16" s="22">
        <f>'Dia 7'!F16</f>
        <v>44.1</v>
      </c>
      <c r="G16" s="22">
        <f>'Dia 7'!H16</f>
        <v>96</v>
      </c>
      <c r="H16" s="22">
        <f>'Dia 7'!M16</f>
        <v>44.555261749999993</v>
      </c>
    </row>
    <row r="17" spans="2:8" ht="15.75" customHeight="1" x14ac:dyDescent="0.2">
      <c r="B17" s="88"/>
      <c r="C17" s="18">
        <v>25</v>
      </c>
      <c r="D17" s="22">
        <f>'Dia 7'!D17</f>
        <v>8.9700000000000006</v>
      </c>
      <c r="E17" s="22">
        <f>'Dia 7'!E17</f>
        <v>46.6</v>
      </c>
      <c r="F17" s="22">
        <f>'Dia 7'!F17</f>
        <v>6.6</v>
      </c>
      <c r="G17" s="22">
        <f>'Dia 7'!H17</f>
        <v>885</v>
      </c>
      <c r="H17" s="22">
        <f>'Dia 7'!M17</f>
        <v>535.55193125000005</v>
      </c>
    </row>
    <row r="18" spans="2:8" ht="15.75" customHeight="1" x14ac:dyDescent="0.2">
      <c r="B18" s="88"/>
      <c r="C18" s="18">
        <v>50</v>
      </c>
      <c r="D18" s="22">
        <f>'Dia 7'!D18</f>
        <v>9.02</v>
      </c>
      <c r="E18" s="22">
        <f>'Dia 7'!E18</f>
        <v>83.4</v>
      </c>
      <c r="F18" s="22">
        <f>'Dia 7'!F18</f>
        <v>13.75</v>
      </c>
      <c r="G18" s="22">
        <f>'Dia 7'!H18</f>
        <v>3640</v>
      </c>
      <c r="H18" s="22">
        <f>'Dia 7'!M18</f>
        <v>1140.1373825000001</v>
      </c>
    </row>
    <row r="19" spans="2:8" ht="15.75" customHeight="1" x14ac:dyDescent="0.2">
      <c r="B19" s="88"/>
      <c r="C19" s="18">
        <v>75</v>
      </c>
      <c r="D19" s="22">
        <f>'Dia 7'!D19</f>
        <v>9.01</v>
      </c>
      <c r="E19" s="22">
        <f>'Dia 7'!E19</f>
        <v>72.099999999999994</v>
      </c>
      <c r="F19" s="22">
        <f>'Dia 7'!F19</f>
        <v>15.7</v>
      </c>
      <c r="G19" s="22">
        <f>'Dia 7'!H19</f>
        <v>2070</v>
      </c>
      <c r="H19" s="22">
        <f>'Dia 7'!M19</f>
        <v>655.654765</v>
      </c>
    </row>
    <row r="20" spans="2:8" ht="15.75" customHeight="1" x14ac:dyDescent="0.2">
      <c r="B20" s="81"/>
      <c r="C20" s="20">
        <v>100</v>
      </c>
      <c r="D20" s="22">
        <f>'Dia 7'!D20</f>
        <v>8.9600000000000009</v>
      </c>
      <c r="E20" s="22">
        <f>'Dia 7'!E20</f>
        <v>184</v>
      </c>
      <c r="F20" s="22">
        <f>'Dia 7'!F20</f>
        <v>23.44</v>
      </c>
      <c r="G20" s="22">
        <f>'Dia 7'!H20</f>
        <v>6940</v>
      </c>
      <c r="H20" s="22">
        <f>'Dia 7'!M20</f>
        <v>1209.3491849999998</v>
      </c>
    </row>
    <row r="21" spans="2:8" ht="15.75" customHeight="1" x14ac:dyDescent="0.2">
      <c r="B21" s="91"/>
      <c r="C21" s="81"/>
      <c r="D21" s="99"/>
      <c r="E21" s="85"/>
      <c r="F21" s="85"/>
      <c r="G21" s="85"/>
      <c r="H21" s="93"/>
    </row>
    <row r="22" spans="2:8" ht="15.75" customHeight="1" x14ac:dyDescent="0.2">
      <c r="B22" s="90" t="s">
        <v>19</v>
      </c>
      <c r="C22" s="18">
        <v>0</v>
      </c>
      <c r="D22" s="22">
        <f>'Dia 7'!D22</f>
        <v>7.77</v>
      </c>
      <c r="E22" s="22">
        <f>'Dia 7'!E22</f>
        <v>1.88</v>
      </c>
      <c r="F22" s="22">
        <f>'Dia 7'!F22</f>
        <v>52.5</v>
      </c>
      <c r="G22" s="22">
        <f>'Dia 7'!H22</f>
        <v>17</v>
      </c>
      <c r="H22" s="22">
        <f>'Dia 7'!M22</f>
        <v>15.649155999999998</v>
      </c>
    </row>
    <row r="23" spans="2:8" ht="15.75" customHeight="1" x14ac:dyDescent="0.2">
      <c r="B23" s="88"/>
      <c r="C23" s="18">
        <v>25</v>
      </c>
      <c r="D23" s="22" t="str">
        <f>'Dia 7'!D23</f>
        <v>8,,98</v>
      </c>
      <c r="E23" s="22">
        <f>'Dia 7'!E23</f>
        <v>38.700000000000003</v>
      </c>
      <c r="F23" s="22">
        <f>'Dia 7'!F23</f>
        <v>6.63</v>
      </c>
      <c r="G23" s="22">
        <f>'Dia 7'!H23</f>
        <v>820</v>
      </c>
      <c r="H23" s="22">
        <f>'Dia 7'!M23</f>
        <v>513.15987749999999</v>
      </c>
    </row>
    <row r="24" spans="2:8" ht="15.75" customHeight="1" x14ac:dyDescent="0.2">
      <c r="B24" s="88"/>
      <c r="C24" s="18">
        <v>50</v>
      </c>
      <c r="D24" s="22">
        <f>'Dia 7'!D24</f>
        <v>9.02</v>
      </c>
      <c r="E24" s="22">
        <f>'Dia 7'!E24</f>
        <v>84.3</v>
      </c>
      <c r="F24" s="22">
        <f>'Dia 7'!F24</f>
        <v>13.9</v>
      </c>
      <c r="G24" s="22">
        <f>'Dia 7'!H24</f>
        <v>3800</v>
      </c>
      <c r="H24" s="22">
        <f>'Dia 7'!M24</f>
        <v>1217.4917499999999</v>
      </c>
    </row>
    <row r="25" spans="2:8" ht="15.75" customHeight="1" x14ac:dyDescent="0.2">
      <c r="B25" s="88"/>
      <c r="C25" s="18">
        <v>75</v>
      </c>
      <c r="D25" s="22">
        <f>'Dia 7'!D25</f>
        <v>9.01</v>
      </c>
      <c r="E25" s="22">
        <f>'Dia 7'!E25</f>
        <v>95.3</v>
      </c>
      <c r="F25" s="22">
        <f>'Dia 7'!F25</f>
        <v>20.87</v>
      </c>
      <c r="G25" s="22">
        <f>'Dia 7'!H25</f>
        <v>2780</v>
      </c>
      <c r="H25" s="22">
        <f>'Dia 7'!M25</f>
        <v>1050.5691674999998</v>
      </c>
    </row>
    <row r="26" spans="2:8" ht="15.75" customHeight="1" x14ac:dyDescent="0.2">
      <c r="B26" s="81"/>
      <c r="C26" s="20">
        <v>100</v>
      </c>
      <c r="D26" s="22">
        <f>'Dia 7'!D26</f>
        <v>9</v>
      </c>
      <c r="E26" s="22">
        <f>'Dia 7'!E26</f>
        <v>96.7</v>
      </c>
      <c r="F26" s="22">
        <f>'Dia 7'!F26</f>
        <v>20.91</v>
      </c>
      <c r="G26" s="22">
        <f>'Dia 7'!H26</f>
        <v>2890</v>
      </c>
      <c r="H26" s="22">
        <f>'Dia 7'!M26</f>
        <v>1046.497885</v>
      </c>
    </row>
    <row r="27" spans="2:8" ht="15.75" customHeight="1" x14ac:dyDescent="0.2"/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6"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  <mergeCell ref="B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703125" defaultRowHeight="15" customHeight="1" x14ac:dyDescent="0.2"/>
  <cols>
    <col min="1" max="1" width="0.5703125" customWidth="1"/>
    <col min="5" max="5" width="14.5703125" customWidth="1"/>
    <col min="6" max="6" width="20.5703125" customWidth="1"/>
  </cols>
  <sheetData>
    <row r="1" spans="1:13" ht="5.25" customHeight="1" x14ac:dyDescent="0.2">
      <c r="A1" s="1" t="s">
        <v>17</v>
      </c>
    </row>
    <row r="2" spans="1:13" ht="15.75" customHeight="1" x14ac:dyDescent="0.2">
      <c r="B2" s="78" t="s">
        <v>1</v>
      </c>
      <c r="C2" s="79"/>
      <c r="D2" s="82" t="s">
        <v>2</v>
      </c>
      <c r="E2" s="82" t="s">
        <v>3</v>
      </c>
      <c r="F2" s="82" t="s">
        <v>4</v>
      </c>
      <c r="G2" s="84" t="s">
        <v>5</v>
      </c>
      <c r="H2" s="85"/>
      <c r="I2" s="86" t="s">
        <v>6</v>
      </c>
      <c r="J2" s="85"/>
      <c r="K2" s="85"/>
      <c r="L2" s="85"/>
      <c r="M2" s="85"/>
    </row>
    <row r="3" spans="1:13" ht="15.75" customHeight="1" x14ac:dyDescent="0.2">
      <c r="B3" s="80"/>
      <c r="C3" s="81"/>
      <c r="D3" s="83"/>
      <c r="E3" s="83"/>
      <c r="F3" s="83"/>
      <c r="G3" s="7" t="s">
        <v>7</v>
      </c>
      <c r="H3" s="2" t="s">
        <v>8</v>
      </c>
      <c r="I3" s="8" t="s">
        <v>20</v>
      </c>
      <c r="J3" s="9" t="s">
        <v>21</v>
      </c>
      <c r="K3" s="10" t="s">
        <v>11</v>
      </c>
      <c r="L3" s="10" t="s">
        <v>8</v>
      </c>
      <c r="M3" s="11" t="s">
        <v>12</v>
      </c>
    </row>
    <row r="4" spans="1:13" ht="15.75" customHeight="1" x14ac:dyDescent="0.2">
      <c r="B4" s="87" t="s">
        <v>13</v>
      </c>
      <c r="C4" s="12">
        <v>0</v>
      </c>
      <c r="D4" s="13">
        <v>8.8699999999999992</v>
      </c>
      <c r="E4" s="13">
        <v>5.22</v>
      </c>
      <c r="F4" s="13">
        <v>267.2</v>
      </c>
      <c r="G4" s="13">
        <v>0</v>
      </c>
      <c r="H4" s="13">
        <f>G4</f>
        <v>0</v>
      </c>
      <c r="I4" s="14">
        <v>4.5999999999999999E-2</v>
      </c>
      <c r="J4" s="15">
        <v>0.05</v>
      </c>
      <c r="K4" s="16">
        <f t="shared" ref="K4:K8" si="0">AVERAGE(I4:J4)</f>
        <v>4.8000000000000001E-2</v>
      </c>
      <c r="L4" s="16">
        <f>K4</f>
        <v>4.8000000000000001E-2</v>
      </c>
      <c r="M4" s="17">
        <f t="shared" ref="M4:M8" si="1">(814.2565*L4) - 3.893</f>
        <v>35.191311999999996</v>
      </c>
    </row>
    <row r="5" spans="1:13" ht="15.75" customHeight="1" x14ac:dyDescent="0.2">
      <c r="B5" s="88"/>
      <c r="C5" s="18">
        <v>25</v>
      </c>
      <c r="D5" s="13">
        <v>9.11</v>
      </c>
      <c r="E5" s="13">
        <v>26.1</v>
      </c>
      <c r="F5" s="13">
        <v>4.2300000000000004</v>
      </c>
      <c r="G5" s="13">
        <v>127</v>
      </c>
      <c r="H5" s="13">
        <f t="shared" ref="H5:H6" si="2">G5*10</f>
        <v>1270</v>
      </c>
      <c r="I5" s="14">
        <v>6.3E-2</v>
      </c>
      <c r="J5" s="15">
        <v>5.2999999999999999E-2</v>
      </c>
      <c r="K5" s="16">
        <f t="shared" si="0"/>
        <v>5.7999999999999996E-2</v>
      </c>
      <c r="L5" s="16">
        <f t="shared" ref="L5:L6" si="3">K5*10</f>
        <v>0.57999999999999996</v>
      </c>
      <c r="M5" s="17">
        <f t="shared" si="1"/>
        <v>468.37576999999999</v>
      </c>
    </row>
    <row r="6" spans="1:13" ht="15.75" customHeight="1" x14ac:dyDescent="0.2">
      <c r="B6" s="88"/>
      <c r="C6" s="18">
        <v>50</v>
      </c>
      <c r="D6" s="19">
        <v>9.17</v>
      </c>
      <c r="E6" s="19">
        <v>40.200000000000003</v>
      </c>
      <c r="F6" s="19">
        <v>8.1300000000000008</v>
      </c>
      <c r="G6" s="19">
        <v>226</v>
      </c>
      <c r="H6" s="13">
        <f t="shared" si="2"/>
        <v>2260</v>
      </c>
      <c r="I6" s="15">
        <v>0.121</v>
      </c>
      <c r="J6" s="15">
        <v>0.123</v>
      </c>
      <c r="K6" s="16">
        <f t="shared" si="0"/>
        <v>0.122</v>
      </c>
      <c r="L6" s="16">
        <f t="shared" si="3"/>
        <v>1.22</v>
      </c>
      <c r="M6" s="17">
        <f t="shared" si="1"/>
        <v>989.49992999999995</v>
      </c>
    </row>
    <row r="7" spans="1:13" ht="15.75" customHeight="1" x14ac:dyDescent="0.2">
      <c r="B7" s="88"/>
      <c r="C7" s="18">
        <v>75</v>
      </c>
      <c r="D7" s="19">
        <v>9.26</v>
      </c>
      <c r="E7" s="19">
        <v>49.6</v>
      </c>
      <c r="F7" s="19">
        <v>11.52</v>
      </c>
      <c r="G7" s="19">
        <v>165</v>
      </c>
      <c r="H7" s="13">
        <f t="shared" ref="H7:H8" si="4">G7*20</f>
        <v>3300</v>
      </c>
      <c r="I7" s="15">
        <v>8.2000000000000003E-2</v>
      </c>
      <c r="J7" s="15">
        <v>8.3000000000000004E-2</v>
      </c>
      <c r="K7" s="16">
        <f t="shared" si="0"/>
        <v>8.2500000000000004E-2</v>
      </c>
      <c r="L7" s="16">
        <f t="shared" ref="L7:L8" si="5">K7*20</f>
        <v>1.6500000000000001</v>
      </c>
      <c r="M7" s="17">
        <f t="shared" si="1"/>
        <v>1339.6302250000001</v>
      </c>
    </row>
    <row r="8" spans="1:13" ht="15.75" customHeight="1" x14ac:dyDescent="0.2">
      <c r="B8" s="81"/>
      <c r="C8" s="20">
        <v>100</v>
      </c>
      <c r="D8" s="19">
        <v>9.33</v>
      </c>
      <c r="E8" s="19">
        <v>60</v>
      </c>
      <c r="F8" s="19">
        <v>14.52</v>
      </c>
      <c r="G8" s="19">
        <v>208</v>
      </c>
      <c r="H8" s="13">
        <f t="shared" si="4"/>
        <v>4160</v>
      </c>
      <c r="I8" s="15">
        <v>0.107</v>
      </c>
      <c r="J8" s="15">
        <v>0.11799999999999999</v>
      </c>
      <c r="K8" s="16">
        <f t="shared" si="0"/>
        <v>0.11249999999999999</v>
      </c>
      <c r="L8" s="16">
        <f t="shared" si="5"/>
        <v>2.25</v>
      </c>
      <c r="M8" s="17">
        <f t="shared" si="1"/>
        <v>1828.1841249999998</v>
      </c>
    </row>
    <row r="9" spans="1:13" ht="15.75" customHeight="1" x14ac:dyDescent="0.2">
      <c r="B9" s="91"/>
      <c r="C9" s="81"/>
      <c r="D9" s="92"/>
      <c r="E9" s="85"/>
      <c r="F9" s="85"/>
      <c r="G9" s="85"/>
      <c r="H9" s="85"/>
      <c r="I9" s="85"/>
      <c r="J9" s="85"/>
      <c r="K9" s="85"/>
      <c r="L9" s="85"/>
      <c r="M9" s="93"/>
    </row>
    <row r="10" spans="1:13" ht="15.75" customHeight="1" x14ac:dyDescent="0.2">
      <c r="B10" s="94" t="s">
        <v>14</v>
      </c>
      <c r="C10" s="18">
        <v>0</v>
      </c>
      <c r="D10" s="19">
        <v>9.25</v>
      </c>
      <c r="E10" s="19">
        <v>3.57</v>
      </c>
      <c r="F10" s="19">
        <v>227.2</v>
      </c>
      <c r="G10" s="19">
        <v>0</v>
      </c>
      <c r="H10" s="19">
        <f>G10</f>
        <v>0</v>
      </c>
      <c r="I10" s="15">
        <v>1.4E-2</v>
      </c>
      <c r="J10" s="15">
        <v>1.2999999999999999E-2</v>
      </c>
      <c r="K10" s="16">
        <f t="shared" ref="K10:K14" si="6">AVERAGE(I10:J10)</f>
        <v>1.35E-2</v>
      </c>
      <c r="L10" s="17">
        <f>K10</f>
        <v>1.35E-2</v>
      </c>
      <c r="M10" s="17">
        <f t="shared" ref="M10:M14" si="7">(814.2565*L10) - 3.893</f>
        <v>7.0994627499999998</v>
      </c>
    </row>
    <row r="11" spans="1:13" ht="15.75" customHeight="1" x14ac:dyDescent="0.2">
      <c r="B11" s="88"/>
      <c r="C11" s="18">
        <v>25</v>
      </c>
      <c r="D11" s="19">
        <v>9.19</v>
      </c>
      <c r="E11" s="19">
        <v>24.1</v>
      </c>
      <c r="F11" s="19">
        <v>4.1399999999999997</v>
      </c>
      <c r="G11" s="19">
        <v>99</v>
      </c>
      <c r="H11" s="19">
        <f t="shared" ref="H11:H12" si="8">G11*10</f>
        <v>990</v>
      </c>
      <c r="I11" s="15">
        <v>6.7000000000000004E-2</v>
      </c>
      <c r="J11" s="15">
        <v>6.9000000000000006E-2</v>
      </c>
      <c r="K11" s="16">
        <f t="shared" si="6"/>
        <v>6.8000000000000005E-2</v>
      </c>
      <c r="L11" s="17">
        <f t="shared" ref="L11:L12" si="9">K11*10</f>
        <v>0.68</v>
      </c>
      <c r="M11" s="17">
        <f t="shared" si="7"/>
        <v>549.80142000000001</v>
      </c>
    </row>
    <row r="12" spans="1:13" ht="15.75" customHeight="1" x14ac:dyDescent="0.2">
      <c r="B12" s="88"/>
      <c r="C12" s="18">
        <v>50</v>
      </c>
      <c r="D12" s="19">
        <v>9.1999999999999993</v>
      </c>
      <c r="E12" s="19">
        <v>42.2</v>
      </c>
      <c r="F12" s="19">
        <v>8.2200000000000006</v>
      </c>
      <c r="G12" s="19">
        <v>218</v>
      </c>
      <c r="H12" s="19">
        <f t="shared" si="8"/>
        <v>2180</v>
      </c>
      <c r="I12" s="15">
        <v>0.115</v>
      </c>
      <c r="J12" s="15">
        <v>0.123</v>
      </c>
      <c r="K12" s="16">
        <f t="shared" si="6"/>
        <v>0.11899999999999999</v>
      </c>
      <c r="L12" s="17">
        <f t="shared" si="9"/>
        <v>1.19</v>
      </c>
      <c r="M12" s="17">
        <f t="shared" si="7"/>
        <v>965.07223499999986</v>
      </c>
    </row>
    <row r="13" spans="1:13" ht="15.75" customHeight="1" x14ac:dyDescent="0.2">
      <c r="B13" s="88"/>
      <c r="C13" s="18">
        <v>75</v>
      </c>
      <c r="D13" s="19">
        <v>9.27</v>
      </c>
      <c r="E13" s="19">
        <v>55.5</v>
      </c>
      <c r="F13" s="19">
        <v>11.36</v>
      </c>
      <c r="G13" s="19">
        <v>176</v>
      </c>
      <c r="H13" s="19">
        <f t="shared" ref="H13:H14" si="10">G13*20</f>
        <v>3520</v>
      </c>
      <c r="I13" s="15">
        <v>8.5000000000000006E-2</v>
      </c>
      <c r="J13" s="15">
        <v>8.5999999999999993E-2</v>
      </c>
      <c r="K13" s="16">
        <f t="shared" si="6"/>
        <v>8.5499999999999993E-2</v>
      </c>
      <c r="L13" s="17">
        <f t="shared" ref="L13:L14" si="11">K13*20</f>
        <v>1.71</v>
      </c>
      <c r="M13" s="17">
        <f t="shared" si="7"/>
        <v>1388.4856149999998</v>
      </c>
    </row>
    <row r="14" spans="1:13" ht="15.75" customHeight="1" x14ac:dyDescent="0.2">
      <c r="B14" s="81"/>
      <c r="C14" s="20">
        <v>100</v>
      </c>
      <c r="D14" s="19">
        <v>9.34</v>
      </c>
      <c r="E14" s="19">
        <v>73.8</v>
      </c>
      <c r="F14" s="19">
        <v>14.61</v>
      </c>
      <c r="G14" s="19">
        <v>227</v>
      </c>
      <c r="H14" s="19">
        <f t="shared" si="10"/>
        <v>4540</v>
      </c>
      <c r="I14" s="15">
        <v>0.113</v>
      </c>
      <c r="J14" s="15">
        <v>0.16600000000000001</v>
      </c>
      <c r="K14" s="16">
        <f t="shared" si="6"/>
        <v>0.13950000000000001</v>
      </c>
      <c r="L14" s="17">
        <f t="shared" si="11"/>
        <v>2.79</v>
      </c>
      <c r="M14" s="17">
        <f t="shared" si="7"/>
        <v>2267.8826349999999</v>
      </c>
    </row>
    <row r="15" spans="1:13" ht="15.75" customHeight="1" x14ac:dyDescent="0.2">
      <c r="B15" s="95"/>
      <c r="C15" s="81"/>
      <c r="D15" s="92"/>
      <c r="E15" s="85"/>
      <c r="F15" s="85"/>
      <c r="G15" s="85"/>
      <c r="H15" s="85"/>
      <c r="I15" s="85"/>
      <c r="J15" s="85"/>
      <c r="K15" s="85"/>
      <c r="L15" s="85"/>
      <c r="M15" s="93"/>
    </row>
    <row r="16" spans="1:13" ht="15.75" customHeight="1" x14ac:dyDescent="0.2">
      <c r="B16" s="89" t="s">
        <v>15</v>
      </c>
      <c r="C16" s="18">
        <v>0</v>
      </c>
      <c r="D16" s="19">
        <v>8.5500000000000007</v>
      </c>
      <c r="E16" s="19">
        <v>4.8499999999999996</v>
      </c>
      <c r="F16" s="19">
        <v>259.8</v>
      </c>
      <c r="G16" s="19">
        <v>0</v>
      </c>
      <c r="H16" s="19">
        <f>G16</f>
        <v>0</v>
      </c>
      <c r="I16" s="15">
        <v>6.9000000000000006E-2</v>
      </c>
      <c r="J16" s="15">
        <v>7.2999999999999995E-2</v>
      </c>
      <c r="K16" s="16">
        <f t="shared" ref="K16:K20" si="12">AVERAGE(I16:J16)</f>
        <v>7.1000000000000008E-2</v>
      </c>
      <c r="L16" s="16">
        <f>K16</f>
        <v>7.1000000000000008E-2</v>
      </c>
      <c r="M16" s="17">
        <f t="shared" ref="M16:M20" si="13">(814.2565*L16) - 3.893</f>
        <v>53.919211500000003</v>
      </c>
    </row>
    <row r="17" spans="2:13" ht="15.75" customHeight="1" x14ac:dyDescent="0.2">
      <c r="B17" s="88"/>
      <c r="C17" s="18">
        <v>25</v>
      </c>
      <c r="D17" s="19">
        <v>9.18</v>
      </c>
      <c r="E17" s="19">
        <v>19.7</v>
      </c>
      <c r="F17" s="19">
        <v>5.96</v>
      </c>
      <c r="G17" s="19">
        <v>154</v>
      </c>
      <c r="H17" s="19">
        <f t="shared" ref="H17:H18" si="14">G17*10</f>
        <v>1540</v>
      </c>
      <c r="I17" s="15">
        <v>9.0999999999999998E-2</v>
      </c>
      <c r="J17" s="15">
        <v>6.6000000000000003E-2</v>
      </c>
      <c r="K17" s="16">
        <f t="shared" si="12"/>
        <v>7.85E-2</v>
      </c>
      <c r="L17" s="16">
        <f t="shared" ref="L17:L18" si="15">K17*10</f>
        <v>0.78500000000000003</v>
      </c>
      <c r="M17" s="17">
        <f t="shared" si="13"/>
        <v>635.29835249999996</v>
      </c>
    </row>
    <row r="18" spans="2:13" ht="15.75" customHeight="1" x14ac:dyDescent="0.2">
      <c r="B18" s="88"/>
      <c r="C18" s="18">
        <v>50</v>
      </c>
      <c r="D18" s="19">
        <v>8.9499999999999993</v>
      </c>
      <c r="E18" s="19">
        <v>171</v>
      </c>
      <c r="F18" s="19">
        <v>13.56</v>
      </c>
      <c r="G18" s="19">
        <v>283</v>
      </c>
      <c r="H18" s="19">
        <f t="shared" si="14"/>
        <v>2830</v>
      </c>
      <c r="I18" s="15">
        <v>0.20799999999999999</v>
      </c>
      <c r="J18" s="15">
        <v>0.20200000000000001</v>
      </c>
      <c r="K18" s="16">
        <f t="shared" si="12"/>
        <v>0.20500000000000002</v>
      </c>
      <c r="L18" s="16">
        <f t="shared" si="15"/>
        <v>2.0500000000000003</v>
      </c>
      <c r="M18" s="17">
        <f t="shared" si="13"/>
        <v>1665.3328250000002</v>
      </c>
    </row>
    <row r="19" spans="2:13" ht="15.75" customHeight="1" x14ac:dyDescent="0.2">
      <c r="B19" s="88"/>
      <c r="C19" s="18">
        <v>75</v>
      </c>
      <c r="D19" s="19">
        <v>9.3000000000000007</v>
      </c>
      <c r="E19" s="19">
        <v>90.3</v>
      </c>
      <c r="F19" s="19">
        <v>13.81</v>
      </c>
      <c r="G19" s="19">
        <v>219</v>
      </c>
      <c r="H19" s="19">
        <f t="shared" ref="H19:H20" si="16">G19*20</f>
        <v>4380</v>
      </c>
      <c r="I19" s="15">
        <v>8.3000000000000004E-2</v>
      </c>
      <c r="J19" s="15">
        <v>8.2000000000000003E-2</v>
      </c>
      <c r="K19" s="16">
        <f t="shared" si="12"/>
        <v>8.2500000000000004E-2</v>
      </c>
      <c r="L19" s="16">
        <f t="shared" ref="L19:L20" si="17">K19*20</f>
        <v>1.6500000000000001</v>
      </c>
      <c r="M19" s="17">
        <f t="shared" si="13"/>
        <v>1339.6302250000001</v>
      </c>
    </row>
    <row r="20" spans="2:13" ht="15.75" customHeight="1" x14ac:dyDescent="0.2">
      <c r="B20" s="81"/>
      <c r="C20" s="20">
        <v>100</v>
      </c>
      <c r="D20" s="19">
        <v>9.2899999999999991</v>
      </c>
      <c r="E20" s="19">
        <v>22.3</v>
      </c>
      <c r="F20" s="19">
        <v>20.95</v>
      </c>
      <c r="G20" s="19">
        <v>390</v>
      </c>
      <c r="H20" s="19">
        <f t="shared" si="16"/>
        <v>7800</v>
      </c>
      <c r="I20" s="15">
        <v>0.14599999999999999</v>
      </c>
      <c r="J20" s="15">
        <v>0.14599999999999999</v>
      </c>
      <c r="K20" s="16">
        <f t="shared" si="12"/>
        <v>0.14599999999999999</v>
      </c>
      <c r="L20" s="16">
        <f t="shared" si="17"/>
        <v>2.92</v>
      </c>
      <c r="M20" s="17">
        <f t="shared" si="13"/>
        <v>2373.7359799999999</v>
      </c>
    </row>
    <row r="21" spans="2:13" ht="15.75" customHeight="1" x14ac:dyDescent="0.2">
      <c r="B21" s="91"/>
      <c r="C21" s="81"/>
      <c r="D21" s="92"/>
      <c r="E21" s="85"/>
      <c r="F21" s="85"/>
      <c r="G21" s="85"/>
      <c r="H21" s="85"/>
      <c r="I21" s="85"/>
      <c r="J21" s="85"/>
      <c r="K21" s="85"/>
      <c r="L21" s="85"/>
      <c r="M21" s="93"/>
    </row>
    <row r="22" spans="2:13" ht="15.75" customHeight="1" x14ac:dyDescent="0.2">
      <c r="B22" s="90" t="s">
        <v>16</v>
      </c>
      <c r="C22" s="18">
        <v>0</v>
      </c>
      <c r="D22" s="19">
        <v>8.69</v>
      </c>
      <c r="E22" s="19">
        <v>2.0099999999999998</v>
      </c>
      <c r="F22" s="19">
        <v>241.1</v>
      </c>
      <c r="G22" s="19">
        <v>0</v>
      </c>
      <c r="H22" s="19">
        <f>G22</f>
        <v>0</v>
      </c>
      <c r="I22" s="15">
        <v>1.7000000000000001E-2</v>
      </c>
      <c r="J22" s="15">
        <v>1.7000000000000001E-2</v>
      </c>
      <c r="K22" s="16">
        <f t="shared" ref="K22:K26" si="18">AVERAGE(I22:J22)</f>
        <v>1.7000000000000001E-2</v>
      </c>
      <c r="L22" s="16">
        <f>K22</f>
        <v>1.7000000000000001E-2</v>
      </c>
      <c r="M22" s="17">
        <f t="shared" ref="M22:M26" si="19">(814.2565*L22) - 3.893</f>
        <v>9.9493605000000009</v>
      </c>
    </row>
    <row r="23" spans="2:13" ht="15.75" customHeight="1" x14ac:dyDescent="0.2">
      <c r="B23" s="88"/>
      <c r="C23" s="18">
        <v>25</v>
      </c>
      <c r="D23" s="19">
        <v>9.2100000000000009</v>
      </c>
      <c r="E23" s="19">
        <v>32.200000000000003</v>
      </c>
      <c r="F23" s="19">
        <v>5.83</v>
      </c>
      <c r="G23" s="19">
        <v>160</v>
      </c>
      <c r="H23" s="19">
        <f t="shared" ref="H23:H24" si="20">G23*10</f>
        <v>1600</v>
      </c>
      <c r="I23" s="15">
        <v>7.2999999999999995E-2</v>
      </c>
      <c r="J23" s="15">
        <v>6.3E-2</v>
      </c>
      <c r="K23" s="16">
        <f t="shared" si="18"/>
        <v>6.8000000000000005E-2</v>
      </c>
      <c r="L23" s="16">
        <f t="shared" ref="L23:L24" si="21">K23*10</f>
        <v>0.68</v>
      </c>
      <c r="M23" s="17">
        <f t="shared" si="19"/>
        <v>549.80142000000001</v>
      </c>
    </row>
    <row r="24" spans="2:13" ht="15.75" customHeight="1" x14ac:dyDescent="0.2">
      <c r="B24" s="88"/>
      <c r="C24" s="18">
        <v>50</v>
      </c>
      <c r="D24" s="19">
        <v>9.19</v>
      </c>
      <c r="E24" s="19">
        <v>98.9</v>
      </c>
      <c r="F24" s="19">
        <v>12.27</v>
      </c>
      <c r="G24" s="19">
        <v>390</v>
      </c>
      <c r="H24" s="19">
        <f t="shared" si="20"/>
        <v>3900</v>
      </c>
      <c r="I24" s="15">
        <v>0.17</v>
      </c>
      <c r="J24" s="15">
        <v>0.16200000000000001</v>
      </c>
      <c r="K24" s="16">
        <f t="shared" si="18"/>
        <v>0.16600000000000001</v>
      </c>
      <c r="L24" s="16">
        <f t="shared" si="21"/>
        <v>1.6600000000000001</v>
      </c>
      <c r="M24" s="17">
        <f t="shared" si="19"/>
        <v>1347.77279</v>
      </c>
    </row>
    <row r="25" spans="2:13" ht="15.75" customHeight="1" x14ac:dyDescent="0.2">
      <c r="B25" s="88"/>
      <c r="C25" s="18">
        <v>75</v>
      </c>
      <c r="D25" s="19">
        <v>9.2899999999999991</v>
      </c>
      <c r="E25" s="19">
        <v>132</v>
      </c>
      <c r="F25" s="19">
        <v>18.54</v>
      </c>
      <c r="G25" s="19">
        <v>307</v>
      </c>
      <c r="H25" s="19">
        <f t="shared" ref="H25:H26" si="22">G25*20</f>
        <v>6140</v>
      </c>
      <c r="I25" s="15">
        <v>0.14099999999999999</v>
      </c>
      <c r="J25" s="15">
        <v>0.13600000000000001</v>
      </c>
      <c r="K25" s="16">
        <f t="shared" si="18"/>
        <v>0.13850000000000001</v>
      </c>
      <c r="L25" s="16">
        <f t="shared" ref="L25:L26" si="23">K25*20</f>
        <v>2.7700000000000005</v>
      </c>
      <c r="M25" s="17">
        <f t="shared" si="19"/>
        <v>2251.5975050000002</v>
      </c>
    </row>
    <row r="26" spans="2:13" ht="15.75" customHeight="1" x14ac:dyDescent="0.2">
      <c r="B26" s="81"/>
      <c r="C26" s="20">
        <v>100</v>
      </c>
      <c r="D26" s="19">
        <v>9.2799999999999994</v>
      </c>
      <c r="E26" s="19">
        <v>105</v>
      </c>
      <c r="F26" s="19">
        <v>18.14</v>
      </c>
      <c r="G26" s="19">
        <v>301</v>
      </c>
      <c r="H26" s="19">
        <f t="shared" si="22"/>
        <v>6020</v>
      </c>
      <c r="I26" s="15">
        <v>0.11799999999999999</v>
      </c>
      <c r="J26" s="15">
        <v>0.12</v>
      </c>
      <c r="K26" s="16">
        <f t="shared" si="18"/>
        <v>0.11899999999999999</v>
      </c>
      <c r="L26" s="16">
        <f t="shared" si="23"/>
        <v>2.38</v>
      </c>
      <c r="M26" s="17">
        <f t="shared" si="19"/>
        <v>1934.0374699999998</v>
      </c>
    </row>
    <row r="27" spans="2:13" ht="15.75" customHeight="1" x14ac:dyDescent="0.2"/>
    <row r="28" spans="2:13" ht="15.75" customHeight="1" x14ac:dyDescent="0.2">
      <c r="F28" s="23" t="s">
        <v>0</v>
      </c>
    </row>
    <row r="29" spans="2:13" ht="15.75" customHeight="1" x14ac:dyDescent="0.2"/>
    <row r="30" spans="2:13" ht="15.75" customHeight="1" x14ac:dyDescent="0.2"/>
    <row r="31" spans="2:13" ht="15.75" customHeight="1" x14ac:dyDescent="0.2"/>
    <row r="32" spans="2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6"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  <mergeCell ref="B2:C3"/>
    <mergeCell ref="D2:D3"/>
    <mergeCell ref="E2:E3"/>
    <mergeCell ref="F2:F3"/>
    <mergeCell ref="G2:H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703125" defaultRowHeight="15" customHeight="1" x14ac:dyDescent="0.2"/>
  <cols>
    <col min="1" max="1" width="0.5703125" customWidth="1"/>
    <col min="5" max="5" width="14.5703125" customWidth="1"/>
    <col min="6" max="6" width="20.5703125" customWidth="1"/>
  </cols>
  <sheetData>
    <row r="1" spans="1:11" ht="5.25" customHeight="1" x14ac:dyDescent="0.2">
      <c r="A1" s="1" t="s">
        <v>17</v>
      </c>
    </row>
    <row r="2" spans="1:11" ht="15.75" customHeight="1" x14ac:dyDescent="0.2">
      <c r="B2" s="78" t="s">
        <v>1</v>
      </c>
      <c r="C2" s="79"/>
      <c r="D2" s="82" t="s">
        <v>2</v>
      </c>
      <c r="E2" s="82" t="s">
        <v>3</v>
      </c>
      <c r="F2" s="82" t="s">
        <v>4</v>
      </c>
      <c r="G2" s="96" t="s">
        <v>5</v>
      </c>
      <c r="H2" s="98" t="s">
        <v>6</v>
      </c>
      <c r="I2" s="5"/>
      <c r="J2" s="5"/>
      <c r="K2" s="5"/>
    </row>
    <row r="3" spans="1:11" ht="15.75" customHeight="1" x14ac:dyDescent="0.2">
      <c r="B3" s="80"/>
      <c r="C3" s="81"/>
      <c r="D3" s="83"/>
      <c r="E3" s="83"/>
      <c r="F3" s="83"/>
      <c r="G3" s="97"/>
      <c r="H3" s="83"/>
      <c r="I3" s="5"/>
      <c r="J3" s="5"/>
      <c r="K3" s="5"/>
    </row>
    <row r="4" spans="1:11" ht="15.75" customHeight="1" x14ac:dyDescent="0.2">
      <c r="B4" s="87" t="s">
        <v>13</v>
      </c>
      <c r="C4" s="12">
        <v>0</v>
      </c>
      <c r="D4" s="21">
        <f>'Dia 14'!D4</f>
        <v>8.8699999999999992</v>
      </c>
      <c r="E4" s="21">
        <f>'Dia 14'!E4</f>
        <v>5.22</v>
      </c>
      <c r="F4" s="21">
        <f>'Dia 14'!F4</f>
        <v>267.2</v>
      </c>
      <c r="G4" s="21">
        <f>'Dia 14'!H4</f>
        <v>0</v>
      </c>
      <c r="H4" s="21">
        <f>'Dia 14'!M4</f>
        <v>35.191311999999996</v>
      </c>
      <c r="I4" s="5"/>
      <c r="J4" s="5"/>
      <c r="K4" s="5"/>
    </row>
    <row r="5" spans="1:11" ht="15.75" customHeight="1" x14ac:dyDescent="0.2">
      <c r="B5" s="88"/>
      <c r="C5" s="18">
        <v>25</v>
      </c>
      <c r="D5" s="21">
        <f>'Dia 14'!D5</f>
        <v>9.11</v>
      </c>
      <c r="E5" s="21">
        <f>'Dia 14'!E5</f>
        <v>26.1</v>
      </c>
      <c r="F5" s="21">
        <f>'Dia 14'!F5</f>
        <v>4.2300000000000004</v>
      </c>
      <c r="G5" s="21">
        <f>'Dia 14'!H5</f>
        <v>1270</v>
      </c>
      <c r="H5" s="21">
        <f>'Dia 14'!M5</f>
        <v>468.37576999999999</v>
      </c>
      <c r="I5" s="5"/>
      <c r="J5" s="5"/>
      <c r="K5" s="5"/>
    </row>
    <row r="6" spans="1:11" ht="15.75" customHeight="1" x14ac:dyDescent="0.2">
      <c r="B6" s="88"/>
      <c r="C6" s="18">
        <v>50</v>
      </c>
      <c r="D6" s="21">
        <f>'Dia 14'!D6</f>
        <v>9.17</v>
      </c>
      <c r="E6" s="21">
        <f>'Dia 14'!E6</f>
        <v>40.200000000000003</v>
      </c>
      <c r="F6" s="21">
        <f>'Dia 14'!F6</f>
        <v>8.1300000000000008</v>
      </c>
      <c r="G6" s="21">
        <f>'Dia 14'!H6</f>
        <v>2260</v>
      </c>
      <c r="H6" s="21">
        <f>'Dia 14'!M6</f>
        <v>989.49992999999995</v>
      </c>
      <c r="I6" s="5"/>
      <c r="J6" s="5"/>
      <c r="K6" s="5"/>
    </row>
    <row r="7" spans="1:11" ht="15.75" customHeight="1" x14ac:dyDescent="0.2">
      <c r="B7" s="88"/>
      <c r="C7" s="18">
        <v>75</v>
      </c>
      <c r="D7" s="21">
        <f>'Dia 14'!D7</f>
        <v>9.26</v>
      </c>
      <c r="E7" s="21">
        <f>'Dia 14'!E7</f>
        <v>49.6</v>
      </c>
      <c r="F7" s="21">
        <f>'Dia 14'!F7</f>
        <v>11.52</v>
      </c>
      <c r="G7" s="21">
        <f>'Dia 14'!H7</f>
        <v>3300</v>
      </c>
      <c r="H7" s="21">
        <f>'Dia 14'!M7</f>
        <v>1339.6302250000001</v>
      </c>
      <c r="I7" s="5"/>
      <c r="J7" s="5"/>
      <c r="K7" s="5"/>
    </row>
    <row r="8" spans="1:11" ht="15.75" customHeight="1" x14ac:dyDescent="0.2">
      <c r="B8" s="81"/>
      <c r="C8" s="20">
        <v>100</v>
      </c>
      <c r="D8" s="21">
        <f>'Dia 14'!D8</f>
        <v>9.33</v>
      </c>
      <c r="E8" s="21">
        <f>'Dia 14'!E8</f>
        <v>60</v>
      </c>
      <c r="F8" s="21">
        <f>'Dia 14'!F8</f>
        <v>14.52</v>
      </c>
      <c r="G8" s="21">
        <f>'Dia 14'!H8</f>
        <v>4160</v>
      </c>
      <c r="H8" s="21">
        <f>'Dia 14'!M8</f>
        <v>1828.1841249999998</v>
      </c>
      <c r="I8" s="5"/>
      <c r="J8" s="5"/>
      <c r="K8" s="5"/>
    </row>
    <row r="9" spans="1:11" ht="15.75" customHeight="1" x14ac:dyDescent="0.2">
      <c r="B9" s="91"/>
      <c r="C9" s="81"/>
      <c r="D9" s="99"/>
      <c r="E9" s="85"/>
      <c r="F9" s="85"/>
      <c r="G9" s="85"/>
      <c r="H9" s="93"/>
      <c r="I9" s="5"/>
      <c r="J9" s="5"/>
      <c r="K9" s="5"/>
    </row>
    <row r="10" spans="1:11" ht="15.75" customHeight="1" x14ac:dyDescent="0.2">
      <c r="B10" s="94" t="s">
        <v>14</v>
      </c>
      <c r="C10" s="18">
        <v>0</v>
      </c>
      <c r="D10" s="22">
        <f>'Dia 14'!D10</f>
        <v>9.25</v>
      </c>
      <c r="E10" s="22">
        <f>'Dia 14'!E10</f>
        <v>3.57</v>
      </c>
      <c r="F10" s="22">
        <f>'Dia 14'!F10</f>
        <v>227.2</v>
      </c>
      <c r="G10" s="22">
        <f>'Dia 14'!H10</f>
        <v>0</v>
      </c>
      <c r="H10" s="22">
        <f>'Dia 14'!M10</f>
        <v>7.0994627499999998</v>
      </c>
      <c r="I10" s="5"/>
      <c r="J10" s="5"/>
      <c r="K10" s="5"/>
    </row>
    <row r="11" spans="1:11" ht="15.75" customHeight="1" x14ac:dyDescent="0.2">
      <c r="B11" s="88"/>
      <c r="C11" s="18">
        <v>25</v>
      </c>
      <c r="D11" s="22">
        <f>'Dia 14'!D11</f>
        <v>9.19</v>
      </c>
      <c r="E11" s="22">
        <f>'Dia 14'!E11</f>
        <v>24.1</v>
      </c>
      <c r="F11" s="22">
        <f>'Dia 14'!F11</f>
        <v>4.1399999999999997</v>
      </c>
      <c r="G11" s="22">
        <f>'Dia 14'!H11</f>
        <v>990</v>
      </c>
      <c r="H11" s="22">
        <f>'Dia 14'!M11</f>
        <v>549.80142000000001</v>
      </c>
    </row>
    <row r="12" spans="1:11" ht="15.75" customHeight="1" x14ac:dyDescent="0.2">
      <c r="B12" s="88"/>
      <c r="C12" s="18">
        <v>50</v>
      </c>
      <c r="D12" s="22">
        <f>'Dia 14'!D12</f>
        <v>9.1999999999999993</v>
      </c>
      <c r="E12" s="22">
        <f>'Dia 14'!E12</f>
        <v>42.2</v>
      </c>
      <c r="F12" s="22">
        <f>'Dia 14'!F12</f>
        <v>8.2200000000000006</v>
      </c>
      <c r="G12" s="22">
        <f>'Dia 14'!H12</f>
        <v>2180</v>
      </c>
      <c r="H12" s="22">
        <f>'Dia 14'!M12</f>
        <v>965.07223499999986</v>
      </c>
    </row>
    <row r="13" spans="1:11" ht="15.75" customHeight="1" x14ac:dyDescent="0.2">
      <c r="B13" s="88"/>
      <c r="C13" s="18">
        <v>75</v>
      </c>
      <c r="D13" s="22">
        <f>'Dia 14'!D13</f>
        <v>9.27</v>
      </c>
      <c r="E13" s="22">
        <f>'Dia 14'!E13</f>
        <v>55.5</v>
      </c>
      <c r="F13" s="22">
        <f>'Dia 14'!F13</f>
        <v>11.36</v>
      </c>
      <c r="G13" s="22">
        <f>'Dia 14'!H13</f>
        <v>3520</v>
      </c>
      <c r="H13" s="22">
        <f>'Dia 14'!M13</f>
        <v>1388.4856149999998</v>
      </c>
    </row>
    <row r="14" spans="1:11" ht="15.75" customHeight="1" x14ac:dyDescent="0.2">
      <c r="B14" s="81"/>
      <c r="C14" s="20">
        <v>100</v>
      </c>
      <c r="D14" s="22">
        <f>'Dia 14'!D14</f>
        <v>9.34</v>
      </c>
      <c r="E14" s="22">
        <f>'Dia 14'!E14</f>
        <v>73.8</v>
      </c>
      <c r="F14" s="22">
        <f>'Dia 14'!F14</f>
        <v>14.61</v>
      </c>
      <c r="G14" s="22">
        <f>'Dia 14'!H14</f>
        <v>4540</v>
      </c>
      <c r="H14" s="22">
        <f>'Dia 14'!M14</f>
        <v>2267.8826349999999</v>
      </c>
    </row>
    <row r="15" spans="1:11" ht="15.75" customHeight="1" x14ac:dyDescent="0.2">
      <c r="B15" s="95"/>
      <c r="C15" s="81"/>
      <c r="D15" s="99"/>
      <c r="E15" s="85"/>
      <c r="F15" s="85"/>
      <c r="G15" s="85"/>
      <c r="H15" s="93"/>
    </row>
    <row r="16" spans="1:11" ht="15.75" customHeight="1" x14ac:dyDescent="0.2">
      <c r="B16" s="89" t="s">
        <v>18</v>
      </c>
      <c r="C16" s="18">
        <v>0</v>
      </c>
      <c r="D16" s="22">
        <f>'Dia 14'!D16</f>
        <v>8.5500000000000007</v>
      </c>
      <c r="E16" s="22">
        <f>'Dia 14'!E16</f>
        <v>4.8499999999999996</v>
      </c>
      <c r="F16" s="22">
        <f>'Dia 14'!F16</f>
        <v>259.8</v>
      </c>
      <c r="G16" s="22">
        <f>'Dia 14'!H16</f>
        <v>0</v>
      </c>
      <c r="H16" s="22">
        <f>'Dia 14'!M16</f>
        <v>53.919211500000003</v>
      </c>
    </row>
    <row r="17" spans="2:8" ht="15.75" customHeight="1" x14ac:dyDescent="0.2">
      <c r="B17" s="88"/>
      <c r="C17" s="18">
        <v>25</v>
      </c>
      <c r="D17" s="22">
        <f>'Dia 14'!D17</f>
        <v>9.18</v>
      </c>
      <c r="E17" s="22">
        <f>'Dia 14'!E17</f>
        <v>19.7</v>
      </c>
      <c r="F17" s="22">
        <f>'Dia 14'!F17</f>
        <v>5.96</v>
      </c>
      <c r="G17" s="22">
        <f>'Dia 14'!H17</f>
        <v>1540</v>
      </c>
      <c r="H17" s="22">
        <f>'Dia 14'!M17</f>
        <v>635.29835249999996</v>
      </c>
    </row>
    <row r="18" spans="2:8" ht="15.75" customHeight="1" x14ac:dyDescent="0.2">
      <c r="B18" s="88"/>
      <c r="C18" s="18">
        <v>50</v>
      </c>
      <c r="D18" s="22">
        <f>'Dia 14'!D18</f>
        <v>8.9499999999999993</v>
      </c>
      <c r="E18" s="22">
        <f>'Dia 14'!E18</f>
        <v>171</v>
      </c>
      <c r="F18" s="22">
        <f>'Dia 14'!F18</f>
        <v>13.56</v>
      </c>
      <c r="G18" s="22">
        <f>'Dia 14'!H18</f>
        <v>2830</v>
      </c>
      <c r="H18" s="22">
        <f>'Dia 14'!M18</f>
        <v>1665.3328250000002</v>
      </c>
    </row>
    <row r="19" spans="2:8" ht="15.75" customHeight="1" x14ac:dyDescent="0.2">
      <c r="B19" s="88"/>
      <c r="C19" s="18">
        <v>75</v>
      </c>
      <c r="D19" s="22">
        <f>'Dia 14'!D19</f>
        <v>9.3000000000000007</v>
      </c>
      <c r="E19" s="22">
        <f>'Dia 14'!E19</f>
        <v>90.3</v>
      </c>
      <c r="F19" s="22">
        <f>'Dia 14'!F19</f>
        <v>13.81</v>
      </c>
      <c r="G19" s="22">
        <f>'Dia 14'!H19</f>
        <v>4380</v>
      </c>
      <c r="H19" s="22">
        <f>'Dia 14'!M19</f>
        <v>1339.6302250000001</v>
      </c>
    </row>
    <row r="20" spans="2:8" ht="15.75" customHeight="1" x14ac:dyDescent="0.2">
      <c r="B20" s="81"/>
      <c r="C20" s="20">
        <v>100</v>
      </c>
      <c r="D20" s="22">
        <f>'Dia 14'!D20</f>
        <v>9.2899999999999991</v>
      </c>
      <c r="E20" s="22">
        <f>'Dia 14'!E20</f>
        <v>22.3</v>
      </c>
      <c r="F20" s="22">
        <f>'Dia 14'!F20</f>
        <v>20.95</v>
      </c>
      <c r="G20" s="22">
        <f>'Dia 14'!H20</f>
        <v>7800</v>
      </c>
      <c r="H20" s="22">
        <f>'Dia 14'!M20</f>
        <v>2373.7359799999999</v>
      </c>
    </row>
    <row r="21" spans="2:8" ht="15.75" customHeight="1" x14ac:dyDescent="0.2">
      <c r="B21" s="91"/>
      <c r="C21" s="81"/>
      <c r="D21" s="99"/>
      <c r="E21" s="85"/>
      <c r="F21" s="85"/>
      <c r="G21" s="85"/>
      <c r="H21" s="93"/>
    </row>
    <row r="22" spans="2:8" ht="15.75" customHeight="1" x14ac:dyDescent="0.2">
      <c r="B22" s="90" t="s">
        <v>19</v>
      </c>
      <c r="C22" s="18">
        <v>0</v>
      </c>
      <c r="D22" s="22">
        <f>'Dia 14'!D22</f>
        <v>8.69</v>
      </c>
      <c r="E22" s="22">
        <f>'Dia 14'!E22</f>
        <v>2.0099999999999998</v>
      </c>
      <c r="F22" s="22">
        <f>'Dia 14'!F22</f>
        <v>241.1</v>
      </c>
      <c r="G22" s="22">
        <f>'Dia 14'!H22</f>
        <v>0</v>
      </c>
      <c r="H22" s="22">
        <f>'Dia 14'!M22</f>
        <v>9.9493605000000009</v>
      </c>
    </row>
    <row r="23" spans="2:8" ht="15.75" customHeight="1" x14ac:dyDescent="0.2">
      <c r="B23" s="88"/>
      <c r="C23" s="18">
        <v>25</v>
      </c>
      <c r="D23" s="22">
        <f>'Dia 14'!D23</f>
        <v>9.2100000000000009</v>
      </c>
      <c r="E23" s="22">
        <f>'Dia 14'!E23</f>
        <v>32.200000000000003</v>
      </c>
      <c r="F23" s="22">
        <f>'Dia 14'!F23</f>
        <v>5.83</v>
      </c>
      <c r="G23" s="22">
        <f>'Dia 14'!H23</f>
        <v>1600</v>
      </c>
      <c r="H23" s="22">
        <f>'Dia 14'!M23</f>
        <v>549.80142000000001</v>
      </c>
    </row>
    <row r="24" spans="2:8" ht="15.75" customHeight="1" x14ac:dyDescent="0.2">
      <c r="B24" s="88"/>
      <c r="C24" s="18">
        <v>50</v>
      </c>
      <c r="D24" s="22">
        <f>'Dia 14'!D24</f>
        <v>9.19</v>
      </c>
      <c r="E24" s="22">
        <f>'Dia 14'!E24</f>
        <v>98.9</v>
      </c>
      <c r="F24" s="22">
        <f>'Dia 14'!F24</f>
        <v>12.27</v>
      </c>
      <c r="G24" s="22">
        <f>'Dia 14'!H24</f>
        <v>3900</v>
      </c>
      <c r="H24" s="22">
        <f>'Dia 14'!M24</f>
        <v>1347.77279</v>
      </c>
    </row>
    <row r="25" spans="2:8" ht="15.75" customHeight="1" x14ac:dyDescent="0.2">
      <c r="B25" s="88"/>
      <c r="C25" s="18">
        <v>75</v>
      </c>
      <c r="D25" s="22">
        <f>'Dia 14'!D25</f>
        <v>9.2899999999999991</v>
      </c>
      <c r="E25" s="22">
        <f>'Dia 14'!E25</f>
        <v>132</v>
      </c>
      <c r="F25" s="22">
        <f>'Dia 14'!F25</f>
        <v>18.54</v>
      </c>
      <c r="G25" s="22">
        <f>'Dia 14'!H25</f>
        <v>6140</v>
      </c>
      <c r="H25" s="22">
        <f>'Dia 14'!M25</f>
        <v>2251.5975050000002</v>
      </c>
    </row>
    <row r="26" spans="2:8" ht="15.75" customHeight="1" x14ac:dyDescent="0.2">
      <c r="B26" s="81"/>
      <c r="C26" s="20">
        <v>100</v>
      </c>
      <c r="D26" s="22">
        <f>'Dia 14'!D26</f>
        <v>9.2799999999999994</v>
      </c>
      <c r="E26" s="22">
        <f>'Dia 14'!E26</f>
        <v>105</v>
      </c>
      <c r="F26" s="22">
        <f>'Dia 14'!F26</f>
        <v>18.14</v>
      </c>
      <c r="G26" s="22">
        <f>'Dia 14'!H26</f>
        <v>6020</v>
      </c>
      <c r="H26" s="22">
        <f>'Dia 14'!M26</f>
        <v>1934.0374699999998</v>
      </c>
    </row>
    <row r="27" spans="2:8" ht="15.75" customHeight="1" x14ac:dyDescent="0.2"/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6"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  <mergeCell ref="B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B1:W35"/>
  <sheetViews>
    <sheetView tabSelected="1" topLeftCell="D1" workbookViewId="0">
      <selection activeCell="O35" sqref="O35"/>
    </sheetView>
  </sheetViews>
  <sheetFormatPr defaultColWidth="12.5703125" defaultRowHeight="15" customHeight="1" x14ac:dyDescent="0.2"/>
  <cols>
    <col min="1" max="1" width="0.7109375" customWidth="1"/>
    <col min="12" max="15" width="14.140625" customWidth="1"/>
    <col min="23" max="23" width="15" customWidth="1"/>
  </cols>
  <sheetData>
    <row r="1" spans="2:23" ht="3.75" customHeight="1" x14ac:dyDescent="0.2"/>
    <row r="2" spans="2:23" ht="12.75" x14ac:dyDescent="0.2">
      <c r="B2" s="78" t="s">
        <v>1</v>
      </c>
      <c r="C2" s="79"/>
      <c r="D2" s="24" t="s">
        <v>23</v>
      </c>
      <c r="E2" s="25" t="s">
        <v>24</v>
      </c>
      <c r="F2" s="25" t="s">
        <v>25</v>
      </c>
      <c r="G2" s="24"/>
      <c r="H2" s="26" t="s">
        <v>23</v>
      </c>
      <c r="I2" s="27" t="s">
        <v>24</v>
      </c>
      <c r="J2" s="27" t="s">
        <v>25</v>
      </c>
      <c r="K2" s="26"/>
      <c r="L2" s="28" t="s">
        <v>23</v>
      </c>
      <c r="M2" s="29" t="s">
        <v>24</v>
      </c>
      <c r="N2" s="29" t="s">
        <v>25</v>
      </c>
      <c r="O2" s="28"/>
      <c r="P2" s="30" t="s">
        <v>23</v>
      </c>
      <c r="Q2" s="31" t="s">
        <v>24</v>
      </c>
      <c r="R2" s="31" t="s">
        <v>25</v>
      </c>
      <c r="S2" s="30"/>
      <c r="T2" s="32" t="s">
        <v>23</v>
      </c>
      <c r="U2" s="33" t="s">
        <v>24</v>
      </c>
      <c r="V2" s="33" t="s">
        <v>25</v>
      </c>
      <c r="W2" s="101" t="s">
        <v>26</v>
      </c>
    </row>
    <row r="3" spans="2:23" ht="12.75" x14ac:dyDescent="0.2">
      <c r="B3" s="100"/>
      <c r="C3" s="88"/>
      <c r="D3" s="103" t="s">
        <v>2</v>
      </c>
      <c r="E3" s="104"/>
      <c r="F3" s="79"/>
      <c r="G3" s="34"/>
      <c r="H3" s="105" t="s">
        <v>27</v>
      </c>
      <c r="I3" s="104"/>
      <c r="J3" s="79"/>
      <c r="K3" s="34"/>
      <c r="L3" s="106" t="s">
        <v>28</v>
      </c>
      <c r="M3" s="104"/>
      <c r="N3" s="79"/>
      <c r="O3" s="34"/>
      <c r="P3" s="107" t="s">
        <v>5</v>
      </c>
      <c r="Q3" s="104"/>
      <c r="R3" s="104"/>
      <c r="S3" s="34"/>
      <c r="T3" s="108" t="s">
        <v>6</v>
      </c>
      <c r="U3" s="104"/>
      <c r="V3" s="79"/>
      <c r="W3" s="102"/>
    </row>
    <row r="4" spans="2:23" ht="12.75" x14ac:dyDescent="0.2">
      <c r="B4" s="80"/>
      <c r="C4" s="81"/>
      <c r="D4" s="97"/>
      <c r="E4" s="80"/>
      <c r="F4" s="81"/>
      <c r="G4" s="6"/>
      <c r="H4" s="97"/>
      <c r="I4" s="80"/>
      <c r="J4" s="81"/>
      <c r="K4" s="6"/>
      <c r="L4" s="97"/>
      <c r="M4" s="80"/>
      <c r="N4" s="81"/>
      <c r="O4" s="6"/>
      <c r="P4" s="97"/>
      <c r="Q4" s="80"/>
      <c r="R4" s="80"/>
      <c r="S4" s="6"/>
      <c r="T4" s="97"/>
      <c r="U4" s="80"/>
      <c r="V4" s="81"/>
      <c r="W4" s="83"/>
    </row>
    <row r="5" spans="2:23" ht="12.75" x14ac:dyDescent="0.2">
      <c r="B5" s="98" t="s">
        <v>13</v>
      </c>
      <c r="C5" s="4">
        <v>0</v>
      </c>
      <c r="D5" s="35">
        <f>'Dia 0'!D4</f>
        <v>8.1199999999999992</v>
      </c>
      <c r="E5" s="36">
        <f>'Dia 7'!D4</f>
        <v>7.85</v>
      </c>
      <c r="F5" s="36">
        <f>'Dia 14'!D4</f>
        <v>8.8699999999999992</v>
      </c>
      <c r="G5" s="36"/>
      <c r="H5" s="35">
        <f>'Dia 0'!E4</f>
        <v>0</v>
      </c>
      <c r="I5" s="36">
        <f>'Dia 7'!E4</f>
        <v>8.67</v>
      </c>
      <c r="J5" s="36">
        <f>'Dia 14'!E4</f>
        <v>5.22</v>
      </c>
      <c r="K5" s="36"/>
      <c r="L5" s="35">
        <f>'Dia 0'!F4</f>
        <v>0</v>
      </c>
      <c r="M5" s="36">
        <f>'Dia 7'!F4</f>
        <v>44.1</v>
      </c>
      <c r="N5" s="37">
        <f>'Dia 14'!F4</f>
        <v>267.2</v>
      </c>
      <c r="O5" s="36"/>
      <c r="P5" s="35">
        <f>'Dia 0'!H4</f>
        <v>0</v>
      </c>
      <c r="Q5" s="36">
        <f>'Dia 7'!H4</f>
        <v>96</v>
      </c>
      <c r="R5" s="37">
        <f>'Dia 14'!H4</f>
        <v>0</v>
      </c>
      <c r="S5" s="36"/>
      <c r="T5" s="35">
        <f>'Dia 0'!M4</f>
        <v>-3.8929999999999998</v>
      </c>
      <c r="U5" s="36">
        <f>'Dia 7'!M4</f>
        <v>40.076850999999998</v>
      </c>
      <c r="V5" s="38">
        <f>'Dia 14'!M4</f>
        <v>35.191311999999996</v>
      </c>
      <c r="W5" s="39">
        <f t="shared" ref="W5:W9" si="0">((T5-V5)/T5)*100</f>
        <v>1003.9638325199074</v>
      </c>
    </row>
    <row r="6" spans="2:23" ht="12.75" x14ac:dyDescent="0.2">
      <c r="B6" s="102"/>
      <c r="C6" s="4">
        <v>25</v>
      </c>
      <c r="D6" s="40">
        <f>'Dia 0'!D5</f>
        <v>9.68</v>
      </c>
      <c r="E6" s="41">
        <f>'Dia 7'!D5</f>
        <v>9.09</v>
      </c>
      <c r="F6" s="41">
        <f>'Dia 14'!D5</f>
        <v>9.11</v>
      </c>
      <c r="G6" s="41"/>
      <c r="H6" s="40">
        <f>'Dia 0'!E5</f>
        <v>21.8</v>
      </c>
      <c r="I6" s="41">
        <f>'Dia 7'!E5</f>
        <v>24.4</v>
      </c>
      <c r="J6" s="41">
        <f>'Dia 14'!E5</f>
        <v>26.1</v>
      </c>
      <c r="K6" s="41"/>
      <c r="L6" s="40">
        <f>'Dia 0'!F5</f>
        <v>4.38</v>
      </c>
      <c r="M6" s="41">
        <f>'Dia 7'!F5</f>
        <v>4.3499999999999996</v>
      </c>
      <c r="N6" s="42">
        <f>'Dia 14'!F5</f>
        <v>4.2300000000000004</v>
      </c>
      <c r="O6" s="127"/>
      <c r="P6" s="40">
        <f>'Dia 0'!H5</f>
        <v>1260</v>
      </c>
      <c r="Q6" s="41">
        <f>'Dia 7'!H5</f>
        <v>535</v>
      </c>
      <c r="R6" s="42">
        <f>'Dia 14'!H5</f>
        <v>1270</v>
      </c>
      <c r="S6" s="127"/>
      <c r="T6" s="40">
        <f>'Dia 0'!M5</f>
        <v>423.59166250000004</v>
      </c>
      <c r="U6" s="41">
        <f>'Dia 7'!M5</f>
        <v>407.3065325</v>
      </c>
      <c r="V6" s="43">
        <f>'Dia 14'!M5</f>
        <v>468.37576999999999</v>
      </c>
      <c r="W6" s="44">
        <f t="shared" si="0"/>
        <v>-10.572471430548976</v>
      </c>
    </row>
    <row r="7" spans="2:23" ht="12.75" x14ac:dyDescent="0.2">
      <c r="B7" s="102"/>
      <c r="C7" s="4">
        <v>50</v>
      </c>
      <c r="D7" s="40">
        <f>'Dia 0'!D6</f>
        <v>9.57</v>
      </c>
      <c r="E7" s="41">
        <f>'Dia 7'!D6</f>
        <v>90.9</v>
      </c>
      <c r="F7" s="41">
        <f>'Dia 14'!D6</f>
        <v>9.17</v>
      </c>
      <c r="G7" s="41"/>
      <c r="H7" s="40">
        <f>'Dia 0'!E6</f>
        <v>32.200000000000003</v>
      </c>
      <c r="I7" s="41">
        <f>'Dia 7'!E6</f>
        <v>36.299999999999997</v>
      </c>
      <c r="J7" s="41">
        <f>'Dia 14'!E6</f>
        <v>40.200000000000003</v>
      </c>
      <c r="K7" s="41"/>
      <c r="L7" s="40">
        <f>'Dia 0'!F6</f>
        <v>8.31</v>
      </c>
      <c r="M7" s="41">
        <f>'Dia 7'!F6</f>
        <v>8.4600000000000009</v>
      </c>
      <c r="N7" s="42">
        <f>'Dia 14'!F6</f>
        <v>8.1300000000000008</v>
      </c>
      <c r="O7" s="127"/>
      <c r="P7" s="40">
        <f>'Dia 0'!H6</f>
        <v>2440</v>
      </c>
      <c r="Q7" s="41">
        <f>'Dia 7'!H6</f>
        <v>2050</v>
      </c>
      <c r="R7" s="42">
        <f>'Dia 14'!H6</f>
        <v>2260</v>
      </c>
      <c r="S7" s="127"/>
      <c r="T7" s="40">
        <f>'Dia 0'!M6</f>
        <v>977.28608250000002</v>
      </c>
      <c r="U7" s="41">
        <f>'Dia 7'!M6</f>
        <v>961.00095249999993</v>
      </c>
      <c r="V7" s="43">
        <f>'Dia 14'!M6</f>
        <v>989.49992999999995</v>
      </c>
      <c r="W7" s="44">
        <f t="shared" si="0"/>
        <v>-1.2497719673604304</v>
      </c>
    </row>
    <row r="8" spans="2:23" ht="12.75" x14ac:dyDescent="0.2">
      <c r="B8" s="102"/>
      <c r="C8" s="4">
        <v>75</v>
      </c>
      <c r="D8" s="40">
        <f>'Dia 0'!D7</f>
        <v>9.5</v>
      </c>
      <c r="E8" s="41">
        <f>'Dia 7'!D7</f>
        <v>9.1199999999999992</v>
      </c>
      <c r="F8" s="41">
        <f>'Dia 14'!D7</f>
        <v>9.26</v>
      </c>
      <c r="G8" s="41"/>
      <c r="H8" s="40">
        <f>'Dia 0'!E7</f>
        <v>40.299999999999997</v>
      </c>
      <c r="I8" s="41">
        <f>'Dia 7'!E7</f>
        <v>47.6</v>
      </c>
      <c r="J8" s="41">
        <f>'Dia 14'!E7</f>
        <v>49.6</v>
      </c>
      <c r="K8" s="41"/>
      <c r="L8" s="40">
        <f>'Dia 0'!F7</f>
        <v>12.39</v>
      </c>
      <c r="M8" s="41">
        <f>'Dia 7'!F7</f>
        <v>12.08</v>
      </c>
      <c r="N8" s="42">
        <f>'Dia 14'!F7</f>
        <v>11.52</v>
      </c>
      <c r="O8" s="127"/>
      <c r="P8" s="40">
        <f>'Dia 0'!H7</f>
        <v>3740</v>
      </c>
      <c r="Q8" s="41">
        <f>'Dia 7'!H7</f>
        <v>1620</v>
      </c>
      <c r="R8" s="42">
        <f>'Dia 14'!H7</f>
        <v>3300</v>
      </c>
      <c r="S8" s="127"/>
      <c r="T8" s="40">
        <f>'Dia 0'!M7</f>
        <v>1339.6302250000001</v>
      </c>
      <c r="U8" s="41">
        <f>'Dia 7'!M7</f>
        <v>614.94193999999993</v>
      </c>
      <c r="V8" s="43">
        <f>'Dia 14'!M7</f>
        <v>1339.6302250000001</v>
      </c>
      <c r="W8" s="44">
        <f t="shared" si="0"/>
        <v>0</v>
      </c>
    </row>
    <row r="9" spans="2:23" ht="12.75" x14ac:dyDescent="0.2">
      <c r="B9" s="83"/>
      <c r="C9" s="45">
        <v>100</v>
      </c>
      <c r="D9" s="46">
        <f>'Dia 0'!D8</f>
        <v>9.4600000000000009</v>
      </c>
      <c r="E9" s="47">
        <f>'Dia 7'!D8</f>
        <v>9.15</v>
      </c>
      <c r="F9" s="47">
        <f>'Dia 14'!D8</f>
        <v>9.33</v>
      </c>
      <c r="G9" s="47"/>
      <c r="H9" s="46">
        <f>'Dia 0'!E8</f>
        <v>46.5</v>
      </c>
      <c r="I9" s="41">
        <f>'Dia 7'!E8</f>
        <v>56.5</v>
      </c>
      <c r="J9" s="41">
        <f>'Dia 14'!E8</f>
        <v>60</v>
      </c>
      <c r="K9" s="41"/>
      <c r="L9" s="40">
        <f>'Dia 0'!F8</f>
        <v>16.02</v>
      </c>
      <c r="M9" s="41">
        <f>'Dia 7'!F8</f>
        <v>14.9</v>
      </c>
      <c r="N9" s="42">
        <f>'Dia 14'!F8</f>
        <v>14.52</v>
      </c>
      <c r="O9" s="127"/>
      <c r="P9" s="40">
        <f>'Dia 0'!H8</f>
        <v>4920</v>
      </c>
      <c r="Q9" s="41">
        <f>'Dia 7'!H8</f>
        <v>2050</v>
      </c>
      <c r="R9" s="42">
        <f>'Dia 14'!H8</f>
        <v>4160</v>
      </c>
      <c r="S9" s="127"/>
      <c r="T9" s="40">
        <f>'Dia 0'!M8</f>
        <v>1583.9071750000001</v>
      </c>
      <c r="U9" s="41">
        <f>'Dia 7'!M8</f>
        <v>822.57734750000009</v>
      </c>
      <c r="V9" s="43">
        <f>'Dia 14'!M8</f>
        <v>1828.1841249999998</v>
      </c>
      <c r="W9" s="48">
        <f t="shared" si="0"/>
        <v>-15.422428400830984</v>
      </c>
    </row>
    <row r="10" spans="2:23" ht="12.75" x14ac:dyDescent="0.2">
      <c r="B10" s="86"/>
      <c r="C10" s="93"/>
      <c r="D10" s="109"/>
      <c r="E10" s="100"/>
      <c r="F10" s="88"/>
      <c r="G10" s="125"/>
      <c r="H10" s="86"/>
      <c r="I10" s="85"/>
      <c r="J10" s="93"/>
      <c r="K10" s="3"/>
      <c r="L10" s="86"/>
      <c r="M10" s="85"/>
      <c r="N10" s="93"/>
      <c r="O10" s="3"/>
      <c r="P10" s="86">
        <f>'Dia 0'!H9</f>
        <v>0</v>
      </c>
      <c r="Q10" s="85"/>
      <c r="R10" s="93"/>
      <c r="S10" s="3"/>
      <c r="T10" s="84">
        <f>'Dia 0'!M9</f>
        <v>0</v>
      </c>
      <c r="U10" s="85"/>
      <c r="V10" s="93"/>
      <c r="W10" s="49"/>
    </row>
    <row r="11" spans="2:23" ht="12.75" x14ac:dyDescent="0.2">
      <c r="B11" s="110" t="s">
        <v>14</v>
      </c>
      <c r="C11" s="4">
        <v>0</v>
      </c>
      <c r="D11" s="50">
        <f>'Dia 0'!D10</f>
        <v>8.1199999999999992</v>
      </c>
      <c r="E11" s="38">
        <f>'Dia 7'!D10</f>
        <v>7.77</v>
      </c>
      <c r="F11" s="38">
        <f>'Dia 14'!D10</f>
        <v>9.25</v>
      </c>
      <c r="G11" s="126"/>
      <c r="H11" s="40">
        <f>'Dia 0'!E10</f>
        <v>0</v>
      </c>
      <c r="I11" s="43">
        <f>'Dia 7'!E10</f>
        <v>1.88</v>
      </c>
      <c r="J11" s="43">
        <f>'Dia 14'!E10</f>
        <v>3.57</v>
      </c>
      <c r="K11" s="43"/>
      <c r="L11" s="40">
        <f>'Dia 0'!F10</f>
        <v>0</v>
      </c>
      <c r="M11" s="43">
        <f>'Dia 7'!F10</f>
        <v>52.5</v>
      </c>
      <c r="N11" s="51">
        <f>'Dia 14'!F10</f>
        <v>227.2</v>
      </c>
      <c r="O11" s="126"/>
      <c r="P11" s="40">
        <f>'Dia 0'!H10</f>
        <v>0</v>
      </c>
      <c r="Q11" s="43">
        <f>'Dia 7'!H10</f>
        <v>17</v>
      </c>
      <c r="R11" s="51">
        <f>'Dia 14'!H10</f>
        <v>0</v>
      </c>
      <c r="S11" s="126"/>
      <c r="T11" s="40">
        <f>'Dia 0'!M10</f>
        <v>-3.8929999999999998</v>
      </c>
      <c r="U11" s="43">
        <f>'Dia 7'!M10</f>
        <v>9.5422322500000014</v>
      </c>
      <c r="V11" s="43">
        <f>'Dia 14'!M10</f>
        <v>7.0994627499999998</v>
      </c>
      <c r="W11" s="39">
        <f t="shared" ref="W11:W15" si="1">((T11-V11)/T11)*100</f>
        <v>282.36482789622397</v>
      </c>
    </row>
    <row r="12" spans="2:23" ht="12.75" x14ac:dyDescent="0.2">
      <c r="B12" s="102"/>
      <c r="C12" s="4">
        <v>25</v>
      </c>
      <c r="D12" s="52">
        <f>'Dia 0'!D11</f>
        <v>9.68</v>
      </c>
      <c r="E12" s="43">
        <f>'Dia 7'!D11</f>
        <v>8.98</v>
      </c>
      <c r="F12" s="43">
        <f>'Dia 14'!D11</f>
        <v>9.19</v>
      </c>
      <c r="G12" s="43"/>
      <c r="H12" s="40">
        <f>'Dia 0'!E11</f>
        <v>21.8</v>
      </c>
      <c r="I12" s="43">
        <f>'Dia 7'!E11</f>
        <v>23.5</v>
      </c>
      <c r="J12" s="43">
        <f>'Dia 14'!E11</f>
        <v>24.1</v>
      </c>
      <c r="K12" s="43"/>
      <c r="L12" s="40">
        <f>'Dia 0'!F11</f>
        <v>4.38</v>
      </c>
      <c r="M12" s="43">
        <f>'Dia 7'!F11</f>
        <v>4.1399999999999997</v>
      </c>
      <c r="N12" s="51">
        <f>'Dia 14'!F11</f>
        <v>4.1399999999999997</v>
      </c>
      <c r="O12" s="126"/>
      <c r="P12" s="40">
        <f>'Dia 0'!H11</f>
        <v>1260</v>
      </c>
      <c r="Q12" s="43">
        <f>'Dia 7'!H11</f>
        <v>490</v>
      </c>
      <c r="R12" s="51">
        <f>'Dia 14'!H11</f>
        <v>990</v>
      </c>
      <c r="S12" s="126"/>
      <c r="T12" s="40">
        <f>'Dia 0'!M11</f>
        <v>423.59166250000004</v>
      </c>
      <c r="U12" s="43">
        <f>'Dia 7'!M11</f>
        <v>364.55806625000002</v>
      </c>
      <c r="V12" s="43">
        <f>'Dia 14'!M11</f>
        <v>549.80142000000001</v>
      </c>
      <c r="W12" s="44">
        <f t="shared" si="1"/>
        <v>-29.795146758819868</v>
      </c>
    </row>
    <row r="13" spans="2:23" ht="12.75" x14ac:dyDescent="0.2">
      <c r="B13" s="102"/>
      <c r="C13" s="4">
        <v>50</v>
      </c>
      <c r="D13" s="52">
        <f>'Dia 0'!D12</f>
        <v>9.57</v>
      </c>
      <c r="E13" s="43">
        <f>'Dia 7'!D12</f>
        <v>9.1</v>
      </c>
      <c r="F13" s="43">
        <f>'Dia 14'!D12</f>
        <v>9.1999999999999993</v>
      </c>
      <c r="G13" s="43"/>
      <c r="H13" s="40">
        <f>'Dia 0'!E12</f>
        <v>32.200000000000003</v>
      </c>
      <c r="I13" s="43">
        <f>'Dia 7'!E12</f>
        <v>39.9</v>
      </c>
      <c r="J13" s="43">
        <f>'Dia 14'!E12</f>
        <v>42.2</v>
      </c>
      <c r="K13" s="43"/>
      <c r="L13" s="40">
        <f>'Dia 0'!F12</f>
        <v>8.31</v>
      </c>
      <c r="M13" s="43">
        <f>'Dia 7'!F12</f>
        <v>8.44</v>
      </c>
      <c r="N13" s="51">
        <f>'Dia 14'!F12</f>
        <v>8.2200000000000006</v>
      </c>
      <c r="O13" s="126"/>
      <c r="P13" s="40">
        <f>'Dia 0'!H12</f>
        <v>2440</v>
      </c>
      <c r="Q13" s="43">
        <f>'Dia 7'!H12</f>
        <v>2120</v>
      </c>
      <c r="R13" s="51">
        <f>'Dia 14'!H12</f>
        <v>2180</v>
      </c>
      <c r="S13" s="126"/>
      <c r="T13" s="40">
        <f>'Dia 0'!M12</f>
        <v>977.28608250000002</v>
      </c>
      <c r="U13" s="43">
        <f>'Dia 7'!M12</f>
        <v>838.86247749999984</v>
      </c>
      <c r="V13" s="43">
        <f>'Dia 14'!M12</f>
        <v>965.07223499999986</v>
      </c>
      <c r="W13" s="44">
        <f t="shared" si="1"/>
        <v>1.2497719673604535</v>
      </c>
    </row>
    <row r="14" spans="2:23" ht="12.75" x14ac:dyDescent="0.2">
      <c r="B14" s="102"/>
      <c r="C14" s="4">
        <v>75</v>
      </c>
      <c r="D14" s="52">
        <f>'Dia 0'!D13</f>
        <v>9.5</v>
      </c>
      <c r="E14" s="43">
        <f>'Dia 7'!D13</f>
        <v>9.1300000000000008</v>
      </c>
      <c r="F14" s="43">
        <f>'Dia 14'!D13</f>
        <v>9.27</v>
      </c>
      <c r="G14" s="43"/>
      <c r="H14" s="40">
        <f>'Dia 0'!E13</f>
        <v>40.299999999999997</v>
      </c>
      <c r="I14" s="43">
        <f>'Dia 7'!E13</f>
        <v>53.4</v>
      </c>
      <c r="J14" s="43">
        <f>'Dia 14'!E13</f>
        <v>55.5</v>
      </c>
      <c r="K14" s="43"/>
      <c r="L14" s="40">
        <f>'Dia 0'!F13</f>
        <v>12.39</v>
      </c>
      <c r="M14" s="43">
        <f>'Dia 7'!F13</f>
        <v>12.03</v>
      </c>
      <c r="N14" s="51">
        <f>'Dia 14'!F13</f>
        <v>11.36</v>
      </c>
      <c r="O14" s="126"/>
      <c r="P14" s="40">
        <f>'Dia 0'!H13</f>
        <v>3740</v>
      </c>
      <c r="Q14" s="43">
        <f>'Dia 7'!H13</f>
        <v>1720</v>
      </c>
      <c r="R14" s="51">
        <f>'Dia 14'!H13</f>
        <v>3520</v>
      </c>
      <c r="S14" s="126"/>
      <c r="T14" s="40">
        <f>'Dia 0'!M13</f>
        <v>1339.6302250000001</v>
      </c>
      <c r="U14" s="43">
        <f>'Dia 7'!M13</f>
        <v>631.22706999999991</v>
      </c>
      <c r="V14" s="43">
        <f>'Dia 14'!M13</f>
        <v>1388.4856149999998</v>
      </c>
      <c r="W14" s="44">
        <f t="shared" si="1"/>
        <v>-3.6469310029190862</v>
      </c>
    </row>
    <row r="15" spans="2:23" ht="12.75" x14ac:dyDescent="0.2">
      <c r="B15" s="83"/>
      <c r="C15" s="45">
        <v>100</v>
      </c>
      <c r="D15" s="53">
        <f>'Dia 0'!D14</f>
        <v>9.4600000000000009</v>
      </c>
      <c r="E15" s="54">
        <f>'Dia 7'!D14</f>
        <v>9.16</v>
      </c>
      <c r="F15" s="54">
        <f>'Dia 14'!D14</f>
        <v>9.34</v>
      </c>
      <c r="G15" s="126"/>
      <c r="H15" s="40">
        <f>'Dia 0'!E14</f>
        <v>46.5</v>
      </c>
      <c r="I15" s="43">
        <f>'Dia 7'!E14</f>
        <v>62</v>
      </c>
      <c r="J15" s="43">
        <f>'Dia 14'!E14</f>
        <v>73.8</v>
      </c>
      <c r="K15" s="43"/>
      <c r="L15" s="40">
        <f>'Dia 0'!F14</f>
        <v>16.02</v>
      </c>
      <c r="M15" s="43">
        <f>'Dia 7'!F14</f>
        <v>15.2</v>
      </c>
      <c r="N15" s="51">
        <f>'Dia 14'!F14</f>
        <v>14.61</v>
      </c>
      <c r="O15" s="126"/>
      <c r="P15" s="40">
        <f>'Dia 0'!H14</f>
        <v>4920</v>
      </c>
      <c r="Q15" s="43">
        <f>'Dia 7'!H14</f>
        <v>2110</v>
      </c>
      <c r="R15" s="51">
        <f>'Dia 14'!H14</f>
        <v>4540</v>
      </c>
      <c r="S15" s="126"/>
      <c r="T15" s="40">
        <f>'Dia 0'!M14</f>
        <v>1583.9071750000001</v>
      </c>
      <c r="U15" s="43">
        <f>'Dia 7'!M14</f>
        <v>798.1496525</v>
      </c>
      <c r="V15" s="43">
        <f>'Dia 14'!M14</f>
        <v>2267.8826349999999</v>
      </c>
      <c r="W15" s="48">
        <f t="shared" si="1"/>
        <v>-43.182799522326796</v>
      </c>
    </row>
    <row r="16" spans="2:23" ht="12.75" x14ac:dyDescent="0.2">
      <c r="B16" s="111"/>
      <c r="C16" s="93"/>
      <c r="D16" s="112"/>
      <c r="E16" s="100"/>
      <c r="F16" s="88"/>
      <c r="G16" s="125"/>
      <c r="H16" s="111"/>
      <c r="I16" s="85"/>
      <c r="J16" s="93"/>
      <c r="K16" s="3"/>
      <c r="L16" s="111">
        <f>'Dia 0'!F15</f>
        <v>0</v>
      </c>
      <c r="M16" s="85"/>
      <c r="N16" s="93"/>
      <c r="O16" s="3"/>
      <c r="P16" s="86">
        <f>'Dia 0'!H15</f>
        <v>0</v>
      </c>
      <c r="Q16" s="85"/>
      <c r="R16" s="93"/>
      <c r="S16" s="3"/>
      <c r="T16" s="84">
        <f>'Dia 0'!M15</f>
        <v>0</v>
      </c>
      <c r="U16" s="85"/>
      <c r="V16" s="93"/>
      <c r="W16" s="49"/>
    </row>
    <row r="17" spans="2:23" ht="12.75" x14ac:dyDescent="0.2">
      <c r="B17" s="110" t="s">
        <v>18</v>
      </c>
      <c r="C17" s="4">
        <v>0</v>
      </c>
      <c r="D17" s="50">
        <f>'Dia 0'!D16</f>
        <v>8.1199999999999992</v>
      </c>
      <c r="E17" s="38">
        <f>'Dia 7'!D16</f>
        <v>7.85</v>
      </c>
      <c r="F17" s="38">
        <f>'Dia 14'!D16</f>
        <v>8.5500000000000007</v>
      </c>
      <c r="G17" s="126"/>
      <c r="H17" s="40">
        <f>'Dia 0'!E16</f>
        <v>0</v>
      </c>
      <c r="I17" s="43">
        <f>'Dia 7'!E16</f>
        <v>8.67</v>
      </c>
      <c r="J17" s="43">
        <f>'Dia 14'!E16</f>
        <v>4.8499999999999996</v>
      </c>
      <c r="K17" s="43"/>
      <c r="L17" s="40">
        <f>'Dia 0'!F16</f>
        <v>0</v>
      </c>
      <c r="M17" s="43">
        <f>'Dia 7'!F16</f>
        <v>44.1</v>
      </c>
      <c r="N17" s="51">
        <f>'Dia 14'!F16</f>
        <v>259.8</v>
      </c>
      <c r="O17" s="126"/>
      <c r="P17" s="40">
        <f>'Dia 0'!H16</f>
        <v>0</v>
      </c>
      <c r="Q17" s="43">
        <f>'Dia 7'!H16</f>
        <v>96</v>
      </c>
      <c r="R17" s="51">
        <f>'Dia 14'!H16</f>
        <v>0</v>
      </c>
      <c r="S17" s="126"/>
      <c r="T17" s="40">
        <f>'Dia 0'!M16</f>
        <v>-3.8929999999999998</v>
      </c>
      <c r="U17" s="43">
        <f>'Dia 7'!M16</f>
        <v>44.555261749999993</v>
      </c>
      <c r="V17" s="43">
        <f>'Dia 14'!M16</f>
        <v>53.919211500000003</v>
      </c>
      <c r="W17" s="39">
        <f t="shared" ref="W17:W21" si="2">((T17-V17)/T17)*100</f>
        <v>1485.0298356023634</v>
      </c>
    </row>
    <row r="18" spans="2:23" ht="12.75" x14ac:dyDescent="0.2">
      <c r="B18" s="102"/>
      <c r="C18" s="4">
        <v>25</v>
      </c>
      <c r="D18" s="52">
        <f>'Dia 0'!D17</f>
        <v>8.07</v>
      </c>
      <c r="E18" s="43">
        <f>'Dia 7'!D17</f>
        <v>8.9700000000000006</v>
      </c>
      <c r="F18" s="43">
        <f>'Dia 14'!D17</f>
        <v>9.18</v>
      </c>
      <c r="G18" s="43"/>
      <c r="H18" s="40">
        <f>'Dia 0'!E17</f>
        <v>22.9</v>
      </c>
      <c r="I18" s="43">
        <f>'Dia 7'!E17</f>
        <v>46.6</v>
      </c>
      <c r="J18" s="43">
        <f>'Dia 14'!E17</f>
        <v>19.7</v>
      </c>
      <c r="K18" s="43"/>
      <c r="L18" s="40">
        <f>'Dia 0'!F17</f>
        <v>7.65</v>
      </c>
      <c r="M18" s="43">
        <f>'Dia 7'!F17</f>
        <v>6.6</v>
      </c>
      <c r="N18" s="51">
        <f>'Dia 14'!F17</f>
        <v>5.96</v>
      </c>
      <c r="O18" s="126"/>
      <c r="P18" s="40">
        <f>'Dia 0'!H17</f>
        <v>1280</v>
      </c>
      <c r="Q18" s="43">
        <f>'Dia 7'!H17</f>
        <v>885</v>
      </c>
      <c r="R18" s="51">
        <f>'Dia 14'!H17</f>
        <v>1540</v>
      </c>
      <c r="S18" s="126"/>
      <c r="T18" s="40">
        <f>'Dia 0'!M17</f>
        <v>498.91038874999992</v>
      </c>
      <c r="U18" s="43">
        <f>'Dia 7'!M17</f>
        <v>535.55193125000005</v>
      </c>
      <c r="V18" s="43">
        <f>'Dia 14'!M17</f>
        <v>635.29835249999996</v>
      </c>
      <c r="W18" s="44">
        <f t="shared" si="2"/>
        <v>-27.337166518363077</v>
      </c>
    </row>
    <row r="19" spans="2:23" ht="12.75" x14ac:dyDescent="0.2">
      <c r="B19" s="102"/>
      <c r="C19" s="4">
        <v>50</v>
      </c>
      <c r="D19" s="52">
        <f>'Dia 0'!D18</f>
        <v>8.01</v>
      </c>
      <c r="E19" s="43">
        <f>'Dia 7'!D18</f>
        <v>9.02</v>
      </c>
      <c r="F19" s="43">
        <f>'Dia 14'!D18</f>
        <v>8.9499999999999993</v>
      </c>
      <c r="G19" s="43"/>
      <c r="H19" s="40">
        <f>'Dia 0'!E18</f>
        <v>39.9</v>
      </c>
      <c r="I19" s="43">
        <f>'Dia 7'!E18</f>
        <v>83.4</v>
      </c>
      <c r="J19" s="43">
        <f>'Dia 14'!E18</f>
        <v>171</v>
      </c>
      <c r="K19" s="43"/>
      <c r="L19" s="40">
        <f>'Dia 0'!F18</f>
        <v>13.53</v>
      </c>
      <c r="M19" s="43">
        <f>'Dia 7'!F18</f>
        <v>13.75</v>
      </c>
      <c r="N19" s="51">
        <f>'Dia 14'!F18</f>
        <v>13.56</v>
      </c>
      <c r="O19" s="126"/>
      <c r="P19" s="40">
        <f>'Dia 0'!H18</f>
        <v>2370</v>
      </c>
      <c r="Q19" s="43">
        <f>'Dia 7'!H18</f>
        <v>3640</v>
      </c>
      <c r="R19" s="51">
        <f>'Dia 14'!H18</f>
        <v>2830</v>
      </c>
      <c r="S19" s="126"/>
      <c r="T19" s="40">
        <f>'Dia 0'!M18</f>
        <v>1005.7850599999999</v>
      </c>
      <c r="U19" s="43">
        <f>'Dia 7'!M18</f>
        <v>1140.1373825000001</v>
      </c>
      <c r="V19" s="43">
        <f>'Dia 14'!M18</f>
        <v>1665.3328250000002</v>
      </c>
      <c r="W19" s="44">
        <f t="shared" si="2"/>
        <v>-65.575418767902576</v>
      </c>
    </row>
    <row r="20" spans="2:23" ht="12.75" x14ac:dyDescent="0.2">
      <c r="B20" s="102"/>
      <c r="C20" s="4">
        <v>75</v>
      </c>
      <c r="D20" s="52">
        <f>'Dia 0'!D19</f>
        <v>7.91</v>
      </c>
      <c r="E20" s="43">
        <f>'Dia 7'!D19</f>
        <v>9.01</v>
      </c>
      <c r="F20" s="43">
        <f>'Dia 14'!D19</f>
        <v>9.3000000000000007</v>
      </c>
      <c r="G20" s="43"/>
      <c r="H20" s="40">
        <f>'Dia 0'!E19</f>
        <v>142</v>
      </c>
      <c r="I20" s="43">
        <f>'Dia 7'!E19</f>
        <v>72.099999999999994</v>
      </c>
      <c r="J20" s="43">
        <f>'Dia 14'!E19</f>
        <v>90.3</v>
      </c>
      <c r="K20" s="43"/>
      <c r="L20" s="40">
        <f>'Dia 0'!F19</f>
        <v>28.84</v>
      </c>
      <c r="M20" s="43">
        <f>'Dia 7'!F19</f>
        <v>15.7</v>
      </c>
      <c r="N20" s="51">
        <f>'Dia 14'!F19</f>
        <v>13.81</v>
      </c>
      <c r="O20" s="126"/>
      <c r="P20" s="40">
        <f>'Dia 0'!H19</f>
        <v>5360</v>
      </c>
      <c r="Q20" s="43">
        <f>'Dia 7'!H19</f>
        <v>2070</v>
      </c>
      <c r="R20" s="51">
        <f>'Dia 14'!H19</f>
        <v>4380</v>
      </c>
      <c r="S20" s="126"/>
      <c r="T20" s="40">
        <f>'Dia 0'!M19</f>
        <v>2219.0272450000002</v>
      </c>
      <c r="U20" s="43">
        <f>'Dia 7'!M19</f>
        <v>655.654765</v>
      </c>
      <c r="V20" s="43">
        <f>'Dia 14'!M19</f>
        <v>1339.6302250000001</v>
      </c>
      <c r="W20" s="44">
        <f t="shared" si="2"/>
        <v>39.629843301000122</v>
      </c>
    </row>
    <row r="21" spans="2:23" ht="12.75" x14ac:dyDescent="0.2">
      <c r="B21" s="83"/>
      <c r="C21" s="45">
        <v>100</v>
      </c>
      <c r="D21" s="53">
        <f>'Dia 0'!D20</f>
        <v>7.91</v>
      </c>
      <c r="E21" s="54">
        <f>'Dia 7'!D20</f>
        <v>8.9600000000000009</v>
      </c>
      <c r="F21" s="54">
        <f>'Dia 14'!D20</f>
        <v>9.2899999999999991</v>
      </c>
      <c r="G21" s="126"/>
      <c r="H21" s="40">
        <f>'Dia 0'!E20</f>
        <v>233</v>
      </c>
      <c r="I21" s="43">
        <f>'Dia 7'!E20</f>
        <v>184</v>
      </c>
      <c r="J21" s="43">
        <f>'Dia 14'!E20</f>
        <v>22.3</v>
      </c>
      <c r="K21" s="43"/>
      <c r="L21" s="40">
        <f>'Dia 0'!F20</f>
        <v>31.9</v>
      </c>
      <c r="M21" s="43">
        <f>'Dia 7'!F20</f>
        <v>23.44</v>
      </c>
      <c r="N21" s="51">
        <f>'Dia 14'!F20</f>
        <v>20.95</v>
      </c>
      <c r="O21" s="126"/>
      <c r="P21" s="40">
        <f>'Dia 0'!H20</f>
        <v>6520</v>
      </c>
      <c r="Q21" s="43">
        <f>'Dia 7'!H20</f>
        <v>6940</v>
      </c>
      <c r="R21" s="51">
        <f>'Dia 14'!H20</f>
        <v>7800</v>
      </c>
      <c r="S21" s="126"/>
      <c r="T21" s="40">
        <f>'Dia 0'!M20</f>
        <v>2430.7339349999997</v>
      </c>
      <c r="U21" s="43">
        <f>'Dia 7'!M20</f>
        <v>1209.3491849999998</v>
      </c>
      <c r="V21" s="43">
        <f>'Dia 14'!M20</f>
        <v>2373.7359799999999</v>
      </c>
      <c r="W21" s="48">
        <f t="shared" si="2"/>
        <v>2.3448866278324219</v>
      </c>
    </row>
    <row r="22" spans="2:23" ht="12.75" x14ac:dyDescent="0.2">
      <c r="B22" s="86"/>
      <c r="C22" s="93"/>
      <c r="D22" s="109"/>
      <c r="E22" s="100"/>
      <c r="F22" s="88"/>
      <c r="G22" s="125"/>
      <c r="H22" s="86"/>
      <c r="I22" s="85"/>
      <c r="J22" s="93"/>
      <c r="K22" s="3"/>
      <c r="L22" s="111"/>
      <c r="M22" s="85"/>
      <c r="N22" s="93"/>
      <c r="O22" s="3"/>
      <c r="P22" s="86">
        <f>'Dia 0'!H21</f>
        <v>0</v>
      </c>
      <c r="Q22" s="85"/>
      <c r="R22" s="93"/>
      <c r="S22" s="3"/>
      <c r="T22" s="84">
        <f>'Dia 0'!M21</f>
        <v>0</v>
      </c>
      <c r="U22" s="85"/>
      <c r="V22" s="93"/>
      <c r="W22" s="49"/>
    </row>
    <row r="23" spans="2:23" ht="12.75" x14ac:dyDescent="0.2">
      <c r="B23" s="98" t="s">
        <v>19</v>
      </c>
      <c r="C23" s="4">
        <v>0</v>
      </c>
      <c r="D23" s="50">
        <f>'Dia 0'!D22</f>
        <v>8.1199999999999992</v>
      </c>
      <c r="E23" s="38">
        <f>'Dia 7'!D22</f>
        <v>7.77</v>
      </c>
      <c r="F23" s="38">
        <f>'Dia 14'!D22</f>
        <v>8.69</v>
      </c>
      <c r="G23" s="126"/>
      <c r="H23" s="40">
        <f>'Dia 0'!E22</f>
        <v>0</v>
      </c>
      <c r="I23" s="43">
        <f>'Dia 7'!E22</f>
        <v>1.88</v>
      </c>
      <c r="J23" s="43">
        <f>'Dia 14'!E22</f>
        <v>2.0099999999999998</v>
      </c>
      <c r="K23" s="43"/>
      <c r="L23" s="40">
        <f>'Dia 0'!F22</f>
        <v>0</v>
      </c>
      <c r="M23" s="43">
        <f>'Dia 7'!F22</f>
        <v>52.5</v>
      </c>
      <c r="N23" s="51">
        <f>'Dia 14'!F22</f>
        <v>241.1</v>
      </c>
      <c r="O23" s="126"/>
      <c r="P23" s="40">
        <f>'Dia 0'!H22</f>
        <v>0</v>
      </c>
      <c r="Q23" s="43">
        <f>'Dia 7'!H22</f>
        <v>17</v>
      </c>
      <c r="R23" s="51">
        <f>'Dia 14'!H22</f>
        <v>0</v>
      </c>
      <c r="S23" s="126"/>
      <c r="T23" s="35">
        <f>'Dia 0'!M22</f>
        <v>-3.8929999999999998</v>
      </c>
      <c r="U23" s="38">
        <f>'Dia 7'!M22</f>
        <v>15.649155999999998</v>
      </c>
      <c r="V23" s="38">
        <f>'Dia 14'!M22</f>
        <v>9.9493605000000009</v>
      </c>
      <c r="W23" s="39">
        <f t="shared" ref="W23:W27" si="3">((T23-V23)/T23)*100</f>
        <v>355.57052401746733</v>
      </c>
    </row>
    <row r="24" spans="2:23" ht="12.75" x14ac:dyDescent="0.2">
      <c r="B24" s="102"/>
      <c r="C24" s="4">
        <v>25</v>
      </c>
      <c r="D24" s="52">
        <f>'Dia 0'!D23</f>
        <v>8.07</v>
      </c>
      <c r="E24" s="43" t="str">
        <f>'Dia 7'!D23</f>
        <v>8,,98</v>
      </c>
      <c r="F24" s="43">
        <f>'Dia 14'!D23</f>
        <v>9.2100000000000009</v>
      </c>
      <c r="G24" s="43"/>
      <c r="H24" s="40">
        <f>'Dia 0'!E23</f>
        <v>22.9</v>
      </c>
      <c r="I24" s="43">
        <f>'Dia 7'!E23</f>
        <v>38.700000000000003</v>
      </c>
      <c r="J24" s="43">
        <f>'Dia 14'!E23</f>
        <v>32.200000000000003</v>
      </c>
      <c r="K24" s="43"/>
      <c r="L24" s="40">
        <f>'Dia 0'!F23</f>
        <v>7.65</v>
      </c>
      <c r="M24" s="43">
        <f>'Dia 7'!F23</f>
        <v>6.63</v>
      </c>
      <c r="N24" s="51">
        <f>'Dia 14'!F23</f>
        <v>5.83</v>
      </c>
      <c r="O24" s="126"/>
      <c r="P24" s="40">
        <f>'Dia 0'!H23</f>
        <v>1280</v>
      </c>
      <c r="Q24" s="43">
        <f>'Dia 7'!H23</f>
        <v>820</v>
      </c>
      <c r="R24" s="51">
        <f>'Dia 14'!H23</f>
        <v>1600</v>
      </c>
      <c r="S24" s="126"/>
      <c r="T24" s="40">
        <f>'Dia 0'!M23</f>
        <v>498.91038874999992</v>
      </c>
      <c r="U24" s="43">
        <f>'Dia 7'!M23</f>
        <v>513.15987749999999</v>
      </c>
      <c r="V24" s="43">
        <f>'Dia 14'!M23</f>
        <v>549.80142000000001</v>
      </c>
      <c r="W24" s="44">
        <f t="shared" si="3"/>
        <v>-10.200435268045938</v>
      </c>
    </row>
    <row r="25" spans="2:23" ht="12.75" x14ac:dyDescent="0.2">
      <c r="B25" s="102"/>
      <c r="C25" s="4">
        <v>50</v>
      </c>
      <c r="D25" s="52">
        <f>'Dia 0'!D24</f>
        <v>8.01</v>
      </c>
      <c r="E25" s="43">
        <f>'Dia 7'!D24</f>
        <v>9.02</v>
      </c>
      <c r="F25" s="43">
        <f>'Dia 14'!D24</f>
        <v>9.19</v>
      </c>
      <c r="G25" s="43"/>
      <c r="H25" s="40">
        <f>'Dia 0'!E24</f>
        <v>39.9</v>
      </c>
      <c r="I25" s="43">
        <f>'Dia 7'!E24</f>
        <v>84.3</v>
      </c>
      <c r="J25" s="43">
        <f>'Dia 14'!E24</f>
        <v>98.9</v>
      </c>
      <c r="K25" s="43"/>
      <c r="L25" s="40">
        <f>'Dia 0'!F24</f>
        <v>13.53</v>
      </c>
      <c r="M25" s="43">
        <f>'Dia 7'!F24</f>
        <v>13.9</v>
      </c>
      <c r="N25" s="51">
        <f>'Dia 14'!F24</f>
        <v>12.27</v>
      </c>
      <c r="O25" s="126"/>
      <c r="P25" s="40">
        <f>'Dia 0'!H24</f>
        <v>2370</v>
      </c>
      <c r="Q25" s="43">
        <f>'Dia 7'!H24</f>
        <v>3800</v>
      </c>
      <c r="R25" s="51">
        <f>'Dia 14'!H24</f>
        <v>3900</v>
      </c>
      <c r="S25" s="126"/>
      <c r="T25" s="40">
        <f>'Dia 0'!M24</f>
        <v>1005.7850599999999</v>
      </c>
      <c r="U25" s="43">
        <f>'Dia 7'!M24</f>
        <v>1217.4917499999999</v>
      </c>
      <c r="V25" s="43">
        <f>'Dia 14'!M24</f>
        <v>1347.77279</v>
      </c>
      <c r="W25" s="44">
        <f t="shared" si="3"/>
        <v>-34.002068990764293</v>
      </c>
    </row>
    <row r="26" spans="2:23" ht="12.75" x14ac:dyDescent="0.2">
      <c r="B26" s="102"/>
      <c r="C26" s="4">
        <v>75</v>
      </c>
      <c r="D26" s="52">
        <f>'Dia 0'!D25</f>
        <v>7.91</v>
      </c>
      <c r="E26" s="43">
        <f>'Dia 7'!D25</f>
        <v>9.01</v>
      </c>
      <c r="F26" s="43">
        <f>'Dia 14'!D25</f>
        <v>9.2899999999999991</v>
      </c>
      <c r="G26" s="43"/>
      <c r="H26" s="40">
        <f>'Dia 0'!E25</f>
        <v>142</v>
      </c>
      <c r="I26" s="43">
        <f>'Dia 7'!E25</f>
        <v>95.3</v>
      </c>
      <c r="J26" s="43">
        <f>'Dia 14'!E25</f>
        <v>132</v>
      </c>
      <c r="K26" s="43"/>
      <c r="L26" s="40">
        <f>'Dia 0'!F25</f>
        <v>28.84</v>
      </c>
      <c r="M26" s="43">
        <f>'Dia 7'!F25</f>
        <v>20.87</v>
      </c>
      <c r="N26" s="51">
        <f>'Dia 14'!F25</f>
        <v>18.54</v>
      </c>
      <c r="O26" s="126"/>
      <c r="P26" s="40">
        <f>'Dia 0'!H25</f>
        <v>5360</v>
      </c>
      <c r="Q26" s="43">
        <f>'Dia 7'!H25</f>
        <v>2780</v>
      </c>
      <c r="R26" s="51">
        <f>'Dia 14'!H25</f>
        <v>6140</v>
      </c>
      <c r="S26" s="126"/>
      <c r="T26" s="40">
        <f>'Dia 0'!M25</f>
        <v>2219.0272450000002</v>
      </c>
      <c r="U26" s="43">
        <f>'Dia 7'!M25</f>
        <v>1050.5691674999998</v>
      </c>
      <c r="V26" s="43">
        <f>'Dia 14'!M25</f>
        <v>2251.5975050000002</v>
      </c>
      <c r="W26" s="44">
        <f t="shared" si="3"/>
        <v>-1.4677719741111137</v>
      </c>
    </row>
    <row r="27" spans="2:23" ht="12.75" x14ac:dyDescent="0.2">
      <c r="B27" s="83"/>
      <c r="C27" s="45">
        <v>100</v>
      </c>
      <c r="D27" s="53">
        <f>'Dia 0'!D26</f>
        <v>7.91</v>
      </c>
      <c r="E27" s="54">
        <f>'Dia 7'!D26</f>
        <v>9</v>
      </c>
      <c r="F27" s="54">
        <f>'Dia 14'!D26</f>
        <v>9.2799999999999994</v>
      </c>
      <c r="G27" s="54"/>
      <c r="H27" s="46">
        <f>'Dia 0'!E26</f>
        <v>233</v>
      </c>
      <c r="I27" s="54">
        <f>'Dia 7'!E26</f>
        <v>96.7</v>
      </c>
      <c r="J27" s="54">
        <f>'Dia 14'!E26</f>
        <v>105</v>
      </c>
      <c r="K27" s="54"/>
      <c r="L27" s="46">
        <f>'Dia 0'!F26</f>
        <v>31.9</v>
      </c>
      <c r="M27" s="54">
        <f>'Dia 7'!F26</f>
        <v>20.91</v>
      </c>
      <c r="N27" s="55">
        <f>'Dia 14'!F26</f>
        <v>18.14</v>
      </c>
      <c r="O27" s="54"/>
      <c r="P27" s="46">
        <f>'Dia 0'!H26</f>
        <v>6520</v>
      </c>
      <c r="Q27" s="54">
        <f>'Dia 7'!H26</f>
        <v>2890</v>
      </c>
      <c r="R27" s="55">
        <f>'Dia 14'!H26</f>
        <v>6020</v>
      </c>
      <c r="S27" s="54"/>
      <c r="T27" s="46">
        <f>'Dia 0'!M26</f>
        <v>2430.7339349999997</v>
      </c>
      <c r="U27" s="54">
        <f>'Dia 7'!M26</f>
        <v>1046.497885</v>
      </c>
      <c r="V27" s="54">
        <f>'Dia 14'!M26</f>
        <v>1934.0374699999998</v>
      </c>
      <c r="W27" s="48">
        <f t="shared" si="3"/>
        <v>20.434012042539738</v>
      </c>
    </row>
    <row r="35" spans="15:15" ht="15" customHeight="1" x14ac:dyDescent="0.2">
      <c r="O35" s="128"/>
    </row>
  </sheetData>
  <mergeCells count="29">
    <mergeCell ref="B23:B27"/>
    <mergeCell ref="B11:B15"/>
    <mergeCell ref="B16:C16"/>
    <mergeCell ref="D16:F16"/>
    <mergeCell ref="H16:J16"/>
    <mergeCell ref="P10:R10"/>
    <mergeCell ref="T10:V10"/>
    <mergeCell ref="B17:B21"/>
    <mergeCell ref="B22:C22"/>
    <mergeCell ref="D22:F22"/>
    <mergeCell ref="H22:J22"/>
    <mergeCell ref="L22:N22"/>
    <mergeCell ref="P22:R22"/>
    <mergeCell ref="T22:V22"/>
    <mergeCell ref="L16:N16"/>
    <mergeCell ref="P16:R16"/>
    <mergeCell ref="T16:V16"/>
    <mergeCell ref="B5:B9"/>
    <mergeCell ref="B10:C10"/>
    <mergeCell ref="D10:F10"/>
    <mergeCell ref="H10:J10"/>
    <mergeCell ref="L10:N10"/>
    <mergeCell ref="B2:C4"/>
    <mergeCell ref="W2:W4"/>
    <mergeCell ref="D3:F4"/>
    <mergeCell ref="H3:J4"/>
    <mergeCell ref="L3:N4"/>
    <mergeCell ref="P3:R4"/>
    <mergeCell ref="T3:V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AI91"/>
  <sheetViews>
    <sheetView workbookViewId="0"/>
  </sheetViews>
  <sheetFormatPr defaultColWidth="12.5703125" defaultRowHeight="15" customHeight="1" x14ac:dyDescent="0.2"/>
  <cols>
    <col min="1" max="1" width="0.42578125" customWidth="1"/>
    <col min="13" max="13" width="6.28515625" customWidth="1"/>
    <col min="21" max="21" width="3.42578125" customWidth="1"/>
    <col min="29" max="29" width="3.140625" customWidth="1"/>
  </cols>
  <sheetData>
    <row r="1" spans="2:35" ht="2.25" customHeight="1" x14ac:dyDescent="0.2"/>
    <row r="2" spans="2:35" ht="12.75" x14ac:dyDescent="0.2">
      <c r="B2" s="98" t="s">
        <v>13</v>
      </c>
      <c r="C2" s="25" t="s">
        <v>23</v>
      </c>
      <c r="D2" s="25" t="s">
        <v>24</v>
      </c>
      <c r="E2" s="25" t="s">
        <v>25</v>
      </c>
      <c r="I2" s="98" t="s">
        <v>14</v>
      </c>
      <c r="J2" s="25" t="s">
        <v>23</v>
      </c>
      <c r="K2" s="25" t="s">
        <v>24</v>
      </c>
      <c r="L2" s="25" t="s">
        <v>25</v>
      </c>
      <c r="Q2" s="98" t="s">
        <v>18</v>
      </c>
      <c r="R2" s="25" t="s">
        <v>23</v>
      </c>
      <c r="S2" s="25" t="s">
        <v>24</v>
      </c>
      <c r="T2" s="25" t="s">
        <v>25</v>
      </c>
      <c r="Y2" s="98" t="s">
        <v>29</v>
      </c>
      <c r="Z2" s="25" t="s">
        <v>23</v>
      </c>
      <c r="AA2" s="25" t="s">
        <v>24</v>
      </c>
      <c r="AB2" s="25" t="s">
        <v>25</v>
      </c>
      <c r="AC2" s="41"/>
      <c r="AD2" s="41"/>
      <c r="AE2" s="41"/>
      <c r="AF2" s="41"/>
      <c r="AG2" s="41"/>
      <c r="AH2" s="41"/>
      <c r="AI2" s="41"/>
    </row>
    <row r="3" spans="2:35" ht="12.75" x14ac:dyDescent="0.2">
      <c r="B3" s="83"/>
      <c r="C3" s="118" t="s">
        <v>2</v>
      </c>
      <c r="D3" s="85"/>
      <c r="E3" s="93"/>
      <c r="I3" s="83"/>
      <c r="J3" s="118" t="s">
        <v>2</v>
      </c>
      <c r="K3" s="85"/>
      <c r="L3" s="93"/>
      <c r="Q3" s="83"/>
      <c r="R3" s="118" t="s">
        <v>2</v>
      </c>
      <c r="S3" s="85"/>
      <c r="T3" s="93"/>
      <c r="Y3" s="83"/>
      <c r="Z3" s="118" t="s">
        <v>2</v>
      </c>
      <c r="AA3" s="85"/>
      <c r="AB3" s="93"/>
      <c r="AC3" s="41"/>
      <c r="AD3" s="41"/>
      <c r="AE3" s="41"/>
      <c r="AF3" s="41"/>
      <c r="AG3" s="41"/>
      <c r="AH3" s="41"/>
      <c r="AI3" s="41"/>
    </row>
    <row r="4" spans="2:35" ht="12.75" x14ac:dyDescent="0.2">
      <c r="B4" s="8">
        <v>0</v>
      </c>
      <c r="C4" s="13">
        <f>PROCESSAMENTO!D5</f>
        <v>8.1199999999999992</v>
      </c>
      <c r="D4" s="13">
        <f>PROCESSAMENTO!E5</f>
        <v>7.85</v>
      </c>
      <c r="E4" s="13">
        <f>PROCESSAMENTO!F5</f>
        <v>8.8699999999999992</v>
      </c>
      <c r="I4" s="8">
        <v>0</v>
      </c>
      <c r="J4" s="13">
        <f>PROCESSAMENTO!D11</f>
        <v>8.1199999999999992</v>
      </c>
      <c r="K4" s="13">
        <f>PROCESSAMENTO!E11</f>
        <v>7.77</v>
      </c>
      <c r="L4" s="13">
        <f>PROCESSAMENTO!F11</f>
        <v>9.25</v>
      </c>
      <c r="Q4" s="8">
        <v>0</v>
      </c>
      <c r="R4" s="13">
        <f>PROCESSAMENTO!D17</f>
        <v>8.1199999999999992</v>
      </c>
      <c r="S4" s="13">
        <f>PROCESSAMENTO!E17</f>
        <v>7.85</v>
      </c>
      <c r="T4" s="13">
        <f>PROCESSAMENTO!F17</f>
        <v>8.5500000000000007</v>
      </c>
      <c r="Y4" s="8">
        <v>0</v>
      </c>
      <c r="Z4" s="13">
        <f>PROCESSAMENTO!D23</f>
        <v>8.1199999999999992</v>
      </c>
      <c r="AA4" s="13">
        <f>PROCESSAMENTO!E23</f>
        <v>7.77</v>
      </c>
      <c r="AB4" s="13">
        <f>PROCESSAMENTO!F23</f>
        <v>8.69</v>
      </c>
      <c r="AC4" s="41"/>
      <c r="AD4" s="41"/>
      <c r="AE4" s="41"/>
      <c r="AF4" s="41"/>
      <c r="AG4" s="41"/>
      <c r="AH4" s="41"/>
      <c r="AI4" s="41"/>
    </row>
    <row r="5" spans="2:35" ht="12.75" x14ac:dyDescent="0.2">
      <c r="B5" s="8">
        <v>25</v>
      </c>
      <c r="C5" s="13">
        <f>PROCESSAMENTO!D6</f>
        <v>9.68</v>
      </c>
      <c r="D5" s="13">
        <f>PROCESSAMENTO!E6</f>
        <v>9.09</v>
      </c>
      <c r="E5" s="13">
        <f>PROCESSAMENTO!F6</f>
        <v>9.11</v>
      </c>
      <c r="I5" s="8">
        <v>25</v>
      </c>
      <c r="J5" s="13">
        <f>PROCESSAMENTO!D12</f>
        <v>9.68</v>
      </c>
      <c r="K5" s="13">
        <f>PROCESSAMENTO!E12</f>
        <v>8.98</v>
      </c>
      <c r="L5" s="13">
        <f>PROCESSAMENTO!F12</f>
        <v>9.19</v>
      </c>
      <c r="Q5" s="8">
        <v>25</v>
      </c>
      <c r="R5" s="13">
        <f>PROCESSAMENTO!D18</f>
        <v>8.07</v>
      </c>
      <c r="S5" s="13">
        <f>PROCESSAMENTO!E18</f>
        <v>8.9700000000000006</v>
      </c>
      <c r="T5" s="13">
        <f>PROCESSAMENTO!F18</f>
        <v>9.18</v>
      </c>
      <c r="Y5" s="8">
        <v>25</v>
      </c>
      <c r="Z5" s="13">
        <f>PROCESSAMENTO!D24</f>
        <v>8.07</v>
      </c>
      <c r="AA5" s="13" t="str">
        <f>PROCESSAMENTO!E24</f>
        <v>8,,98</v>
      </c>
      <c r="AB5" s="13">
        <f>PROCESSAMENTO!F24</f>
        <v>9.2100000000000009</v>
      </c>
      <c r="AC5" s="41"/>
      <c r="AD5" s="41"/>
      <c r="AE5" s="41"/>
      <c r="AF5" s="41"/>
      <c r="AG5" s="41"/>
      <c r="AH5" s="41"/>
      <c r="AI5" s="41"/>
    </row>
    <row r="6" spans="2:35" ht="12.75" x14ac:dyDescent="0.2">
      <c r="B6" s="8">
        <v>50</v>
      </c>
      <c r="C6" s="13">
        <f>PROCESSAMENTO!D7</f>
        <v>9.57</v>
      </c>
      <c r="D6" s="13">
        <f>PROCESSAMENTO!E7</f>
        <v>90.9</v>
      </c>
      <c r="E6" s="13">
        <f>PROCESSAMENTO!F7</f>
        <v>9.17</v>
      </c>
      <c r="I6" s="8">
        <v>50</v>
      </c>
      <c r="J6" s="13">
        <f>PROCESSAMENTO!D13</f>
        <v>9.57</v>
      </c>
      <c r="K6" s="13">
        <f>PROCESSAMENTO!E13</f>
        <v>9.1</v>
      </c>
      <c r="L6" s="13">
        <f>PROCESSAMENTO!F13</f>
        <v>9.1999999999999993</v>
      </c>
      <c r="Q6" s="8">
        <v>50</v>
      </c>
      <c r="R6" s="13">
        <f>PROCESSAMENTO!D19</f>
        <v>8.01</v>
      </c>
      <c r="S6" s="13">
        <f>PROCESSAMENTO!E19</f>
        <v>9.02</v>
      </c>
      <c r="T6" s="13">
        <f>PROCESSAMENTO!F19</f>
        <v>8.9499999999999993</v>
      </c>
      <c r="Y6" s="8">
        <v>50</v>
      </c>
      <c r="Z6" s="13">
        <f>PROCESSAMENTO!D25</f>
        <v>8.01</v>
      </c>
      <c r="AA6" s="13">
        <f>PROCESSAMENTO!E25</f>
        <v>9.02</v>
      </c>
      <c r="AB6" s="13">
        <f>PROCESSAMENTO!F25</f>
        <v>9.19</v>
      </c>
      <c r="AC6" s="41"/>
      <c r="AD6" s="41"/>
      <c r="AE6" s="41"/>
      <c r="AF6" s="41"/>
      <c r="AG6" s="41"/>
      <c r="AH6" s="41"/>
      <c r="AI6" s="41"/>
    </row>
    <row r="7" spans="2:35" ht="12.75" x14ac:dyDescent="0.2">
      <c r="B7" s="8">
        <v>75</v>
      </c>
      <c r="C7" s="13">
        <f>PROCESSAMENTO!D8</f>
        <v>9.5</v>
      </c>
      <c r="D7" s="13">
        <f>PROCESSAMENTO!E8</f>
        <v>9.1199999999999992</v>
      </c>
      <c r="E7" s="13">
        <f>PROCESSAMENTO!F8</f>
        <v>9.26</v>
      </c>
      <c r="I7" s="8">
        <v>75</v>
      </c>
      <c r="J7" s="13">
        <f>PROCESSAMENTO!D14</f>
        <v>9.5</v>
      </c>
      <c r="K7" s="13">
        <f>PROCESSAMENTO!E14</f>
        <v>9.1300000000000008</v>
      </c>
      <c r="L7" s="13">
        <f>PROCESSAMENTO!F14</f>
        <v>9.27</v>
      </c>
      <c r="Q7" s="8">
        <v>75</v>
      </c>
      <c r="R7" s="13">
        <f>PROCESSAMENTO!D20</f>
        <v>7.91</v>
      </c>
      <c r="S7" s="13">
        <f>PROCESSAMENTO!E20</f>
        <v>9.01</v>
      </c>
      <c r="T7" s="13">
        <f>PROCESSAMENTO!F20</f>
        <v>9.3000000000000007</v>
      </c>
      <c r="Y7" s="8">
        <v>75</v>
      </c>
      <c r="Z7" s="13">
        <f>PROCESSAMENTO!D26</f>
        <v>7.91</v>
      </c>
      <c r="AA7" s="13">
        <f>PROCESSAMENTO!E26</f>
        <v>9.01</v>
      </c>
      <c r="AB7" s="13">
        <f>PROCESSAMENTO!F26</f>
        <v>9.2899999999999991</v>
      </c>
      <c r="AC7" s="41"/>
      <c r="AD7" s="41"/>
      <c r="AE7" s="41"/>
      <c r="AF7" s="41"/>
      <c r="AG7" s="41"/>
      <c r="AH7" s="41"/>
      <c r="AI7" s="41"/>
    </row>
    <row r="8" spans="2:35" ht="12.75" x14ac:dyDescent="0.2">
      <c r="B8" s="56">
        <v>100</v>
      </c>
      <c r="C8" s="13">
        <f>PROCESSAMENTO!D9</f>
        <v>9.4600000000000009</v>
      </c>
      <c r="D8" s="13">
        <f>PROCESSAMENTO!E9</f>
        <v>9.15</v>
      </c>
      <c r="E8" s="13">
        <f>PROCESSAMENTO!F9</f>
        <v>9.33</v>
      </c>
      <c r="I8" s="56">
        <v>100</v>
      </c>
      <c r="J8" s="13">
        <f>PROCESSAMENTO!D15</f>
        <v>9.4600000000000009</v>
      </c>
      <c r="K8" s="13">
        <f>PROCESSAMENTO!E15</f>
        <v>9.16</v>
      </c>
      <c r="L8" s="13">
        <f>PROCESSAMENTO!F15</f>
        <v>9.34</v>
      </c>
      <c r="Q8" s="56">
        <v>100</v>
      </c>
      <c r="R8" s="13">
        <f>PROCESSAMENTO!D21</f>
        <v>7.91</v>
      </c>
      <c r="S8" s="13">
        <f>PROCESSAMENTO!E21</f>
        <v>8.9600000000000009</v>
      </c>
      <c r="T8" s="13">
        <f>PROCESSAMENTO!F21</f>
        <v>9.2899999999999991</v>
      </c>
      <c r="Y8" s="56">
        <v>100</v>
      </c>
      <c r="Z8" s="13">
        <f>PROCESSAMENTO!D27</f>
        <v>7.91</v>
      </c>
      <c r="AA8" s="13">
        <f>PROCESSAMENTO!E27</f>
        <v>9</v>
      </c>
      <c r="AB8" s="13">
        <f>PROCESSAMENTO!F27</f>
        <v>9.2799999999999994</v>
      </c>
      <c r="AC8" s="41"/>
      <c r="AD8" s="41"/>
      <c r="AE8" s="41"/>
      <c r="AF8" s="41"/>
      <c r="AG8" s="41"/>
      <c r="AH8" s="41"/>
      <c r="AI8" s="41"/>
    </row>
    <row r="10" spans="2:35" ht="12.75" x14ac:dyDescent="0.2">
      <c r="B10" s="98" t="s">
        <v>13</v>
      </c>
      <c r="C10" s="57" t="s">
        <v>23</v>
      </c>
      <c r="D10" s="57" t="s">
        <v>24</v>
      </c>
      <c r="E10" s="57" t="s">
        <v>25</v>
      </c>
      <c r="I10" s="98" t="s">
        <v>14</v>
      </c>
      <c r="J10" s="57" t="s">
        <v>23</v>
      </c>
      <c r="K10" s="57" t="s">
        <v>24</v>
      </c>
      <c r="L10" s="57" t="s">
        <v>25</v>
      </c>
      <c r="Q10" s="98" t="s">
        <v>18</v>
      </c>
      <c r="R10" s="57" t="s">
        <v>23</v>
      </c>
      <c r="S10" s="57" t="s">
        <v>24</v>
      </c>
      <c r="T10" s="57" t="s">
        <v>25</v>
      </c>
      <c r="Y10" s="98" t="s">
        <v>29</v>
      </c>
      <c r="Z10" s="57" t="s">
        <v>23</v>
      </c>
      <c r="AA10" s="57" t="s">
        <v>24</v>
      </c>
      <c r="AB10" s="57" t="s">
        <v>25</v>
      </c>
      <c r="AC10" s="43"/>
      <c r="AD10" s="43"/>
      <c r="AE10" s="43"/>
      <c r="AF10" s="43"/>
      <c r="AG10" s="43"/>
      <c r="AH10" s="43"/>
      <c r="AI10" s="43"/>
    </row>
    <row r="11" spans="2:35" ht="12.75" x14ac:dyDescent="0.2">
      <c r="B11" s="83"/>
      <c r="C11" s="119" t="s">
        <v>27</v>
      </c>
      <c r="D11" s="85"/>
      <c r="E11" s="93"/>
      <c r="I11" s="83"/>
      <c r="J11" s="119" t="s">
        <v>27</v>
      </c>
      <c r="K11" s="85"/>
      <c r="L11" s="93"/>
      <c r="Q11" s="83"/>
      <c r="R11" s="119" t="s">
        <v>27</v>
      </c>
      <c r="S11" s="85"/>
      <c r="T11" s="93"/>
      <c r="Y11" s="83"/>
      <c r="Z11" s="119" t="s">
        <v>27</v>
      </c>
      <c r="AA11" s="85"/>
      <c r="AB11" s="93"/>
      <c r="AC11" s="41"/>
      <c r="AD11" s="41"/>
      <c r="AE11" s="41"/>
      <c r="AF11" s="41"/>
      <c r="AG11" s="41"/>
      <c r="AH11" s="41"/>
      <c r="AI11" s="41"/>
    </row>
    <row r="12" spans="2:35" ht="12.75" x14ac:dyDescent="0.2">
      <c r="B12" s="8">
        <v>0</v>
      </c>
      <c r="C12" s="19">
        <f>PROCESSAMENTO!H5</f>
        <v>0</v>
      </c>
      <c r="D12" s="19">
        <f>PROCESSAMENTO!I5</f>
        <v>8.67</v>
      </c>
      <c r="E12" s="19">
        <f>PROCESSAMENTO!J5</f>
        <v>5.22</v>
      </c>
      <c r="I12" s="8">
        <v>0</v>
      </c>
      <c r="J12" s="19">
        <f>PROCESSAMENTO!H11</f>
        <v>0</v>
      </c>
      <c r="K12" s="19">
        <f>PROCESSAMENTO!I11</f>
        <v>1.88</v>
      </c>
      <c r="L12" s="19">
        <f>PROCESSAMENTO!J11</f>
        <v>3.57</v>
      </c>
      <c r="Q12" s="8">
        <v>0</v>
      </c>
      <c r="R12" s="19">
        <f>PROCESSAMENTO!H17</f>
        <v>0</v>
      </c>
      <c r="S12" s="19">
        <f>PROCESSAMENTO!I17</f>
        <v>8.67</v>
      </c>
      <c r="T12" s="19">
        <f>PROCESSAMENTO!J17</f>
        <v>4.8499999999999996</v>
      </c>
      <c r="Y12" s="8">
        <v>0</v>
      </c>
      <c r="Z12" s="19">
        <f>PROCESSAMENTO!H23</f>
        <v>0</v>
      </c>
      <c r="AA12" s="19">
        <f>PROCESSAMENTO!I23</f>
        <v>1.88</v>
      </c>
      <c r="AB12" s="19">
        <f>PROCESSAMENTO!J23</f>
        <v>2.0099999999999998</v>
      </c>
      <c r="AC12" s="43"/>
      <c r="AD12" s="43"/>
      <c r="AE12" s="43"/>
      <c r="AF12" s="43"/>
      <c r="AG12" s="43"/>
      <c r="AH12" s="43"/>
      <c r="AI12" s="43"/>
    </row>
    <row r="13" spans="2:35" ht="12.75" x14ac:dyDescent="0.2">
      <c r="B13" s="8">
        <v>25</v>
      </c>
      <c r="C13" s="19">
        <f>PROCESSAMENTO!H6</f>
        <v>21.8</v>
      </c>
      <c r="D13" s="19">
        <f>PROCESSAMENTO!I6</f>
        <v>24.4</v>
      </c>
      <c r="E13" s="19">
        <f>PROCESSAMENTO!J6</f>
        <v>26.1</v>
      </c>
      <c r="I13" s="8">
        <v>25</v>
      </c>
      <c r="J13" s="19">
        <f>PROCESSAMENTO!H12</f>
        <v>21.8</v>
      </c>
      <c r="K13" s="19">
        <f>PROCESSAMENTO!I12</f>
        <v>23.5</v>
      </c>
      <c r="L13" s="19">
        <f>PROCESSAMENTO!J12</f>
        <v>24.1</v>
      </c>
      <c r="Q13" s="8">
        <v>25</v>
      </c>
      <c r="R13" s="19">
        <f>PROCESSAMENTO!H18</f>
        <v>22.9</v>
      </c>
      <c r="S13" s="19">
        <f>PROCESSAMENTO!I18</f>
        <v>46.6</v>
      </c>
      <c r="T13" s="19">
        <f>PROCESSAMENTO!J18</f>
        <v>19.7</v>
      </c>
      <c r="Y13" s="8">
        <v>25</v>
      </c>
      <c r="Z13" s="19">
        <f>PROCESSAMENTO!H24</f>
        <v>22.9</v>
      </c>
      <c r="AA13" s="19">
        <f>PROCESSAMENTO!I24</f>
        <v>38.700000000000003</v>
      </c>
      <c r="AB13" s="19">
        <f>PROCESSAMENTO!J24</f>
        <v>32.200000000000003</v>
      </c>
      <c r="AC13" s="43"/>
      <c r="AD13" s="43"/>
      <c r="AE13" s="43"/>
      <c r="AF13" s="43"/>
      <c r="AG13" s="43"/>
      <c r="AH13" s="43"/>
      <c r="AI13" s="43"/>
    </row>
    <row r="14" spans="2:35" ht="12.75" x14ac:dyDescent="0.2">
      <c r="B14" s="8">
        <v>50</v>
      </c>
      <c r="C14" s="19">
        <f>PROCESSAMENTO!H7</f>
        <v>32.200000000000003</v>
      </c>
      <c r="D14" s="19">
        <f>PROCESSAMENTO!I7</f>
        <v>36.299999999999997</v>
      </c>
      <c r="E14" s="19">
        <f>PROCESSAMENTO!J7</f>
        <v>40.200000000000003</v>
      </c>
      <c r="I14" s="8">
        <v>50</v>
      </c>
      <c r="J14" s="19">
        <f>PROCESSAMENTO!H13</f>
        <v>32.200000000000003</v>
      </c>
      <c r="K14" s="19">
        <f>PROCESSAMENTO!I13</f>
        <v>39.9</v>
      </c>
      <c r="L14" s="19">
        <f>PROCESSAMENTO!J13</f>
        <v>42.2</v>
      </c>
      <c r="Q14" s="8">
        <v>50</v>
      </c>
      <c r="R14" s="19">
        <f>PROCESSAMENTO!H19</f>
        <v>39.9</v>
      </c>
      <c r="S14" s="19">
        <f>PROCESSAMENTO!I19</f>
        <v>83.4</v>
      </c>
      <c r="T14" s="19">
        <f>PROCESSAMENTO!J19</f>
        <v>171</v>
      </c>
      <c r="Y14" s="8">
        <v>50</v>
      </c>
      <c r="Z14" s="19">
        <f>PROCESSAMENTO!H25</f>
        <v>39.9</v>
      </c>
      <c r="AA14" s="19">
        <f>PROCESSAMENTO!I25</f>
        <v>84.3</v>
      </c>
      <c r="AB14" s="19">
        <f>PROCESSAMENTO!J25</f>
        <v>98.9</v>
      </c>
      <c r="AC14" s="43"/>
      <c r="AD14" s="43"/>
      <c r="AE14" s="43"/>
      <c r="AF14" s="43"/>
      <c r="AG14" s="43"/>
      <c r="AH14" s="43"/>
      <c r="AI14" s="43"/>
    </row>
    <row r="15" spans="2:35" ht="12.75" x14ac:dyDescent="0.2">
      <c r="B15" s="8">
        <v>75</v>
      </c>
      <c r="C15" s="19">
        <f>PROCESSAMENTO!H8</f>
        <v>40.299999999999997</v>
      </c>
      <c r="D15" s="19">
        <f>PROCESSAMENTO!I8</f>
        <v>47.6</v>
      </c>
      <c r="E15" s="19">
        <f>PROCESSAMENTO!J8</f>
        <v>49.6</v>
      </c>
      <c r="I15" s="8">
        <v>75</v>
      </c>
      <c r="J15" s="19">
        <f>PROCESSAMENTO!H14</f>
        <v>40.299999999999997</v>
      </c>
      <c r="K15" s="19">
        <f>PROCESSAMENTO!I14</f>
        <v>53.4</v>
      </c>
      <c r="L15" s="19">
        <f>PROCESSAMENTO!J14</f>
        <v>55.5</v>
      </c>
      <c r="Q15" s="8">
        <v>75</v>
      </c>
      <c r="R15" s="19">
        <f>PROCESSAMENTO!H20</f>
        <v>142</v>
      </c>
      <c r="S15" s="19">
        <f>PROCESSAMENTO!I20</f>
        <v>72.099999999999994</v>
      </c>
      <c r="T15" s="19">
        <f>PROCESSAMENTO!J20</f>
        <v>90.3</v>
      </c>
      <c r="Y15" s="8">
        <v>75</v>
      </c>
      <c r="Z15" s="19">
        <f>PROCESSAMENTO!H26</f>
        <v>142</v>
      </c>
      <c r="AA15" s="19">
        <f>PROCESSAMENTO!I26</f>
        <v>95.3</v>
      </c>
      <c r="AB15" s="19">
        <f>PROCESSAMENTO!J26</f>
        <v>132</v>
      </c>
      <c r="AC15" s="43"/>
      <c r="AD15" s="43"/>
      <c r="AE15" s="43"/>
      <c r="AF15" s="43"/>
      <c r="AG15" s="43"/>
      <c r="AH15" s="43"/>
      <c r="AI15" s="43"/>
    </row>
    <row r="16" spans="2:35" ht="12.75" x14ac:dyDescent="0.2">
      <c r="B16" s="56">
        <v>100</v>
      </c>
      <c r="C16" s="19">
        <f>PROCESSAMENTO!H9</f>
        <v>46.5</v>
      </c>
      <c r="D16" s="19">
        <f>PROCESSAMENTO!I9</f>
        <v>56.5</v>
      </c>
      <c r="E16" s="19">
        <f>PROCESSAMENTO!J9</f>
        <v>60</v>
      </c>
      <c r="I16" s="56">
        <v>100</v>
      </c>
      <c r="J16" s="19">
        <f>PROCESSAMENTO!H15</f>
        <v>46.5</v>
      </c>
      <c r="K16" s="19">
        <f>PROCESSAMENTO!I15</f>
        <v>62</v>
      </c>
      <c r="L16" s="19">
        <f>PROCESSAMENTO!J15</f>
        <v>73.8</v>
      </c>
      <c r="Q16" s="56">
        <v>100</v>
      </c>
      <c r="R16" s="19">
        <f>PROCESSAMENTO!H21</f>
        <v>233</v>
      </c>
      <c r="S16" s="19">
        <f>PROCESSAMENTO!I21</f>
        <v>184</v>
      </c>
      <c r="T16" s="19">
        <f>PROCESSAMENTO!J21</f>
        <v>22.3</v>
      </c>
      <c r="Y16" s="56">
        <v>100</v>
      </c>
      <c r="Z16" s="19">
        <f>PROCESSAMENTO!H27</f>
        <v>233</v>
      </c>
      <c r="AA16" s="19">
        <f>PROCESSAMENTO!I27</f>
        <v>96.7</v>
      </c>
      <c r="AB16" s="19">
        <f>PROCESSAMENTO!J27</f>
        <v>105</v>
      </c>
      <c r="AC16" s="43"/>
      <c r="AD16" s="43"/>
      <c r="AE16" s="43"/>
      <c r="AF16" s="43"/>
      <c r="AG16" s="43"/>
      <c r="AH16" s="43"/>
      <c r="AI16" s="43"/>
    </row>
    <row r="18" spans="2:35" ht="12.75" x14ac:dyDescent="0.2">
      <c r="B18" s="98" t="s">
        <v>13</v>
      </c>
      <c r="C18" s="58" t="s">
        <v>23</v>
      </c>
      <c r="D18" s="58" t="s">
        <v>24</v>
      </c>
      <c r="E18" s="58" t="s">
        <v>25</v>
      </c>
      <c r="I18" s="98" t="s">
        <v>14</v>
      </c>
      <c r="J18" s="58" t="s">
        <v>23</v>
      </c>
      <c r="K18" s="58" t="s">
        <v>24</v>
      </c>
      <c r="L18" s="58" t="s">
        <v>25</v>
      </c>
      <c r="Q18" s="98" t="s">
        <v>18</v>
      </c>
      <c r="R18" s="58" t="s">
        <v>23</v>
      </c>
      <c r="S18" s="58" t="s">
        <v>24</v>
      </c>
      <c r="T18" s="58" t="s">
        <v>25</v>
      </c>
      <c r="Y18" s="98" t="s">
        <v>29</v>
      </c>
      <c r="Z18" s="58" t="s">
        <v>23</v>
      </c>
      <c r="AA18" s="58" t="s">
        <v>24</v>
      </c>
      <c r="AB18" s="58" t="s">
        <v>25</v>
      </c>
      <c r="AC18" s="41"/>
      <c r="AD18" s="41"/>
      <c r="AE18" s="41"/>
      <c r="AF18" s="41"/>
      <c r="AG18" s="41"/>
      <c r="AH18" s="41"/>
      <c r="AI18" s="41"/>
    </row>
    <row r="19" spans="2:35" ht="12.75" x14ac:dyDescent="0.2">
      <c r="B19" s="83"/>
      <c r="C19" s="120" t="s">
        <v>28</v>
      </c>
      <c r="D19" s="85"/>
      <c r="E19" s="93"/>
      <c r="I19" s="83"/>
      <c r="J19" s="120" t="s">
        <v>28</v>
      </c>
      <c r="K19" s="85"/>
      <c r="L19" s="93"/>
      <c r="Q19" s="83"/>
      <c r="R19" s="120" t="s">
        <v>28</v>
      </c>
      <c r="S19" s="85"/>
      <c r="T19" s="93"/>
      <c r="Y19" s="83"/>
      <c r="Z19" s="120" t="s">
        <v>28</v>
      </c>
      <c r="AA19" s="85"/>
      <c r="AB19" s="93"/>
      <c r="AC19" s="41"/>
      <c r="AD19" s="41"/>
      <c r="AE19" s="41"/>
      <c r="AF19" s="41"/>
      <c r="AG19" s="41"/>
      <c r="AH19" s="41"/>
      <c r="AI19" s="41"/>
    </row>
    <row r="20" spans="2:35" ht="12.75" x14ac:dyDescent="0.2">
      <c r="B20" s="8">
        <v>0</v>
      </c>
      <c r="C20" s="13">
        <f>PROCESSAMENTO!L5</f>
        <v>0</v>
      </c>
      <c r="D20" s="13">
        <f>PROCESSAMENTO!M5</f>
        <v>44.1</v>
      </c>
      <c r="E20" s="13">
        <f>PROCESSAMENTO!N5</f>
        <v>267.2</v>
      </c>
      <c r="I20" s="8">
        <v>0</v>
      </c>
      <c r="J20" s="13">
        <f>PROCESSAMENTO!L11</f>
        <v>0</v>
      </c>
      <c r="K20" s="13">
        <f>PROCESSAMENTO!M11</f>
        <v>52.5</v>
      </c>
      <c r="L20" s="13">
        <f>PROCESSAMENTO!N11</f>
        <v>227.2</v>
      </c>
      <c r="Q20" s="8">
        <v>0</v>
      </c>
      <c r="R20" s="13">
        <f>PROCESSAMENTO!L17</f>
        <v>0</v>
      </c>
      <c r="S20" s="13">
        <f>PROCESSAMENTO!M17</f>
        <v>44.1</v>
      </c>
      <c r="T20" s="13">
        <f>PROCESSAMENTO!N17</f>
        <v>259.8</v>
      </c>
      <c r="Y20" s="8">
        <v>0</v>
      </c>
      <c r="Z20" s="13">
        <f>PROCESSAMENTO!L23</f>
        <v>0</v>
      </c>
      <c r="AA20" s="13">
        <f>PROCESSAMENTO!M23</f>
        <v>52.5</v>
      </c>
      <c r="AB20" s="13">
        <f>PROCESSAMENTO!N23</f>
        <v>241.1</v>
      </c>
      <c r="AC20" s="41"/>
      <c r="AD20" s="41"/>
      <c r="AE20" s="41"/>
      <c r="AF20" s="41"/>
      <c r="AG20" s="41"/>
      <c r="AH20" s="41"/>
      <c r="AI20" s="41"/>
    </row>
    <row r="21" spans="2:35" ht="12.75" x14ac:dyDescent="0.2">
      <c r="B21" s="8">
        <v>25</v>
      </c>
      <c r="C21" s="13">
        <f>PROCESSAMENTO!L6</f>
        <v>4.38</v>
      </c>
      <c r="D21" s="13">
        <f>PROCESSAMENTO!M6</f>
        <v>4.3499999999999996</v>
      </c>
      <c r="E21" s="13">
        <f>PROCESSAMENTO!N6</f>
        <v>4.2300000000000004</v>
      </c>
      <c r="I21" s="8">
        <v>25</v>
      </c>
      <c r="J21" s="13">
        <f>PROCESSAMENTO!L12</f>
        <v>4.38</v>
      </c>
      <c r="K21" s="13">
        <f>PROCESSAMENTO!M12</f>
        <v>4.1399999999999997</v>
      </c>
      <c r="L21" s="13">
        <f>PROCESSAMENTO!N12</f>
        <v>4.1399999999999997</v>
      </c>
      <c r="Q21" s="8">
        <v>25</v>
      </c>
      <c r="R21" s="13">
        <f>PROCESSAMENTO!L18</f>
        <v>7.65</v>
      </c>
      <c r="S21" s="13">
        <f>PROCESSAMENTO!M18</f>
        <v>6.6</v>
      </c>
      <c r="T21" s="13">
        <f>PROCESSAMENTO!N18</f>
        <v>5.96</v>
      </c>
      <c r="Y21" s="8">
        <v>25</v>
      </c>
      <c r="Z21" s="13">
        <f>PROCESSAMENTO!L24</f>
        <v>7.65</v>
      </c>
      <c r="AA21" s="13">
        <f>PROCESSAMENTO!M24</f>
        <v>6.63</v>
      </c>
      <c r="AB21" s="13">
        <f>PROCESSAMENTO!N24</f>
        <v>5.83</v>
      </c>
      <c r="AC21" s="41"/>
      <c r="AD21" s="41"/>
      <c r="AE21" s="41"/>
      <c r="AF21" s="41"/>
      <c r="AG21" s="41"/>
      <c r="AH21" s="41"/>
      <c r="AI21" s="41"/>
    </row>
    <row r="22" spans="2:35" ht="12.75" x14ac:dyDescent="0.2">
      <c r="B22" s="8">
        <v>50</v>
      </c>
      <c r="C22" s="13">
        <f>PROCESSAMENTO!L7</f>
        <v>8.31</v>
      </c>
      <c r="D22" s="13">
        <f>PROCESSAMENTO!M7</f>
        <v>8.4600000000000009</v>
      </c>
      <c r="E22" s="13">
        <f>PROCESSAMENTO!N7</f>
        <v>8.1300000000000008</v>
      </c>
      <c r="I22" s="8">
        <v>50</v>
      </c>
      <c r="J22" s="13">
        <f>PROCESSAMENTO!L13</f>
        <v>8.31</v>
      </c>
      <c r="K22" s="13">
        <f>PROCESSAMENTO!M13</f>
        <v>8.44</v>
      </c>
      <c r="L22" s="13">
        <f>PROCESSAMENTO!N13</f>
        <v>8.2200000000000006</v>
      </c>
      <c r="Q22" s="8">
        <v>50</v>
      </c>
      <c r="R22" s="13">
        <f>PROCESSAMENTO!L19</f>
        <v>13.53</v>
      </c>
      <c r="S22" s="13">
        <f>PROCESSAMENTO!M19</f>
        <v>13.75</v>
      </c>
      <c r="T22" s="13">
        <f>PROCESSAMENTO!N19</f>
        <v>13.56</v>
      </c>
      <c r="Y22" s="8">
        <v>50</v>
      </c>
      <c r="Z22" s="13">
        <f>PROCESSAMENTO!L25</f>
        <v>13.53</v>
      </c>
      <c r="AA22" s="13">
        <f>PROCESSAMENTO!M25</f>
        <v>13.9</v>
      </c>
      <c r="AB22" s="13">
        <f>PROCESSAMENTO!N25</f>
        <v>12.27</v>
      </c>
      <c r="AC22" s="41"/>
      <c r="AD22" s="41"/>
      <c r="AE22" s="41"/>
      <c r="AF22" s="41"/>
      <c r="AG22" s="41"/>
      <c r="AH22" s="41"/>
      <c r="AI22" s="41"/>
    </row>
    <row r="23" spans="2:35" ht="12.75" x14ac:dyDescent="0.2">
      <c r="B23" s="8">
        <v>75</v>
      </c>
      <c r="C23" s="13">
        <f>PROCESSAMENTO!L8</f>
        <v>12.39</v>
      </c>
      <c r="D23" s="13">
        <f>PROCESSAMENTO!M8</f>
        <v>12.08</v>
      </c>
      <c r="E23" s="13">
        <f>PROCESSAMENTO!N8</f>
        <v>11.52</v>
      </c>
      <c r="I23" s="8">
        <v>75</v>
      </c>
      <c r="J23" s="13">
        <f>PROCESSAMENTO!L14</f>
        <v>12.39</v>
      </c>
      <c r="K23" s="13">
        <f>PROCESSAMENTO!M14</f>
        <v>12.03</v>
      </c>
      <c r="L23" s="13">
        <f>PROCESSAMENTO!N14</f>
        <v>11.36</v>
      </c>
      <c r="Q23" s="8">
        <v>75</v>
      </c>
      <c r="R23" s="13">
        <f>PROCESSAMENTO!L20</f>
        <v>28.84</v>
      </c>
      <c r="S23" s="13">
        <f>PROCESSAMENTO!M20</f>
        <v>15.7</v>
      </c>
      <c r="T23" s="13">
        <f>PROCESSAMENTO!N20</f>
        <v>13.81</v>
      </c>
      <c r="Y23" s="8">
        <v>75</v>
      </c>
      <c r="Z23" s="13">
        <f>PROCESSAMENTO!L26</f>
        <v>28.84</v>
      </c>
      <c r="AA23" s="13">
        <f>PROCESSAMENTO!M26</f>
        <v>20.87</v>
      </c>
      <c r="AB23" s="13">
        <f>PROCESSAMENTO!N26</f>
        <v>18.54</v>
      </c>
      <c r="AC23" s="41"/>
      <c r="AD23" s="41"/>
      <c r="AE23" s="41"/>
      <c r="AF23" s="41"/>
      <c r="AG23" s="41"/>
      <c r="AH23" s="41"/>
      <c r="AI23" s="41"/>
    </row>
    <row r="24" spans="2:35" ht="12.75" x14ac:dyDescent="0.2">
      <c r="B24" s="56">
        <v>100</v>
      </c>
      <c r="C24" s="13">
        <f>PROCESSAMENTO!L9</f>
        <v>16.02</v>
      </c>
      <c r="D24" s="13">
        <f>PROCESSAMENTO!M9</f>
        <v>14.9</v>
      </c>
      <c r="E24" s="13">
        <f>PROCESSAMENTO!N9</f>
        <v>14.52</v>
      </c>
      <c r="I24" s="56">
        <v>100</v>
      </c>
      <c r="J24" s="13">
        <f>PROCESSAMENTO!L15</f>
        <v>16.02</v>
      </c>
      <c r="K24" s="13">
        <f>PROCESSAMENTO!M15</f>
        <v>15.2</v>
      </c>
      <c r="L24" s="13">
        <f>PROCESSAMENTO!N15</f>
        <v>14.61</v>
      </c>
      <c r="Q24" s="56">
        <v>100</v>
      </c>
      <c r="R24" s="13">
        <f>PROCESSAMENTO!L21</f>
        <v>31.9</v>
      </c>
      <c r="S24" s="13">
        <f>PROCESSAMENTO!M21</f>
        <v>23.44</v>
      </c>
      <c r="T24" s="13">
        <f>PROCESSAMENTO!N21</f>
        <v>20.95</v>
      </c>
      <c r="Y24" s="56">
        <v>100</v>
      </c>
      <c r="Z24" s="13">
        <f>PROCESSAMENTO!L27</f>
        <v>31.9</v>
      </c>
      <c r="AA24" s="13">
        <f>PROCESSAMENTO!M27</f>
        <v>20.91</v>
      </c>
      <c r="AB24" s="13">
        <f>PROCESSAMENTO!N27</f>
        <v>18.14</v>
      </c>
      <c r="AC24" s="41"/>
      <c r="AD24" s="41"/>
      <c r="AE24" s="41"/>
      <c r="AF24" s="41"/>
      <c r="AG24" s="41"/>
      <c r="AH24" s="41"/>
      <c r="AI24" s="41"/>
    </row>
    <row r="26" spans="2:35" ht="12.75" x14ac:dyDescent="0.2">
      <c r="B26" s="98" t="s">
        <v>13</v>
      </c>
      <c r="C26" s="59" t="s">
        <v>23</v>
      </c>
      <c r="D26" s="60" t="s">
        <v>24</v>
      </c>
      <c r="E26" s="60" t="s">
        <v>25</v>
      </c>
      <c r="I26" s="98" t="s">
        <v>14</v>
      </c>
      <c r="J26" s="59" t="s">
        <v>23</v>
      </c>
      <c r="K26" s="60" t="s">
        <v>24</v>
      </c>
      <c r="L26" s="60" t="s">
        <v>25</v>
      </c>
      <c r="Q26" s="98" t="s">
        <v>18</v>
      </c>
      <c r="R26" s="59" t="s">
        <v>23</v>
      </c>
      <c r="S26" s="60" t="s">
        <v>24</v>
      </c>
      <c r="T26" s="60" t="s">
        <v>25</v>
      </c>
      <c r="Y26" s="98" t="s">
        <v>29</v>
      </c>
      <c r="Z26" s="59" t="s">
        <v>23</v>
      </c>
      <c r="AA26" s="60" t="s">
        <v>24</v>
      </c>
      <c r="AB26" s="60" t="s">
        <v>25</v>
      </c>
      <c r="AC26" s="43"/>
      <c r="AD26" s="43"/>
      <c r="AE26" s="43"/>
      <c r="AF26" s="43"/>
      <c r="AG26" s="43"/>
      <c r="AH26" s="43"/>
      <c r="AI26" s="43"/>
    </row>
    <row r="27" spans="2:35" ht="12.75" x14ac:dyDescent="0.2">
      <c r="B27" s="83"/>
      <c r="C27" s="121" t="s">
        <v>5</v>
      </c>
      <c r="D27" s="85"/>
      <c r="E27" s="93"/>
      <c r="I27" s="83"/>
      <c r="J27" s="121" t="s">
        <v>5</v>
      </c>
      <c r="K27" s="85"/>
      <c r="L27" s="93"/>
      <c r="Q27" s="83"/>
      <c r="R27" s="121" t="s">
        <v>5</v>
      </c>
      <c r="S27" s="85"/>
      <c r="T27" s="93"/>
      <c r="Y27" s="83"/>
      <c r="Z27" s="121" t="s">
        <v>5</v>
      </c>
      <c r="AA27" s="85"/>
      <c r="AB27" s="93"/>
      <c r="AC27" s="43"/>
      <c r="AD27" s="43"/>
      <c r="AE27" s="43"/>
      <c r="AF27" s="43"/>
      <c r="AG27" s="43"/>
      <c r="AH27" s="43"/>
      <c r="AI27" s="43"/>
    </row>
    <row r="28" spans="2:35" ht="12.75" x14ac:dyDescent="0.2">
      <c r="B28" s="8">
        <v>0</v>
      </c>
      <c r="C28" s="61">
        <f>PROCESSAMENTO!P5</f>
        <v>0</v>
      </c>
      <c r="D28" s="61">
        <f>PROCESSAMENTO!Q5</f>
        <v>96</v>
      </c>
      <c r="E28" s="61">
        <f>PROCESSAMENTO!R5</f>
        <v>0</v>
      </c>
      <c r="I28" s="8">
        <v>0</v>
      </c>
      <c r="J28" s="61">
        <f>PROCESSAMENTO!P11</f>
        <v>0</v>
      </c>
      <c r="K28" s="61">
        <f>PROCESSAMENTO!Q11</f>
        <v>17</v>
      </c>
      <c r="L28" s="61">
        <f>PROCESSAMENTO!R11</f>
        <v>0</v>
      </c>
      <c r="Q28" s="8">
        <v>0</v>
      </c>
      <c r="R28" s="61">
        <f>PROCESSAMENTO!P17</f>
        <v>0</v>
      </c>
      <c r="S28" s="61">
        <f>PROCESSAMENTO!Q17</f>
        <v>96</v>
      </c>
      <c r="T28" s="61">
        <f>PROCESSAMENTO!R17</f>
        <v>0</v>
      </c>
      <c r="Y28" s="8">
        <v>0</v>
      </c>
      <c r="Z28" s="61">
        <f>PROCESSAMENTO!P23</f>
        <v>0</v>
      </c>
      <c r="AA28" s="61">
        <f>PROCESSAMENTO!Q23</f>
        <v>17</v>
      </c>
      <c r="AB28" s="61">
        <f>PROCESSAMENTO!R23</f>
        <v>0</v>
      </c>
      <c r="AC28" s="43"/>
      <c r="AD28" s="43"/>
      <c r="AE28" s="43"/>
      <c r="AF28" s="43"/>
      <c r="AG28" s="43"/>
      <c r="AH28" s="43"/>
      <c r="AI28" s="43"/>
    </row>
    <row r="29" spans="2:35" ht="12.75" x14ac:dyDescent="0.2">
      <c r="B29" s="8">
        <v>25</v>
      </c>
      <c r="C29" s="61">
        <f>PROCESSAMENTO!P6</f>
        <v>1260</v>
      </c>
      <c r="D29" s="61">
        <f>PROCESSAMENTO!Q6</f>
        <v>535</v>
      </c>
      <c r="E29" s="61">
        <f>PROCESSAMENTO!R6</f>
        <v>1270</v>
      </c>
      <c r="I29" s="8">
        <v>25</v>
      </c>
      <c r="J29" s="61">
        <f>PROCESSAMENTO!P12</f>
        <v>1260</v>
      </c>
      <c r="K29" s="61">
        <f>PROCESSAMENTO!Q12</f>
        <v>490</v>
      </c>
      <c r="L29" s="61">
        <f>PROCESSAMENTO!R12</f>
        <v>990</v>
      </c>
      <c r="Q29" s="8">
        <v>25</v>
      </c>
      <c r="R29" s="61">
        <f>PROCESSAMENTO!P18</f>
        <v>1280</v>
      </c>
      <c r="S29" s="61">
        <f>PROCESSAMENTO!Q18</f>
        <v>885</v>
      </c>
      <c r="T29" s="61">
        <f>PROCESSAMENTO!R18</f>
        <v>1540</v>
      </c>
      <c r="Y29" s="8">
        <v>25</v>
      </c>
      <c r="Z29" s="61">
        <f>PROCESSAMENTO!P24</f>
        <v>1280</v>
      </c>
      <c r="AA29" s="61">
        <f>PROCESSAMENTO!Q24</f>
        <v>820</v>
      </c>
      <c r="AB29" s="61">
        <f>PROCESSAMENTO!R24</f>
        <v>1600</v>
      </c>
      <c r="AC29" s="43"/>
      <c r="AD29" s="43"/>
      <c r="AE29" s="43"/>
      <c r="AF29" s="43"/>
      <c r="AG29" s="43"/>
      <c r="AH29" s="43"/>
      <c r="AI29" s="43"/>
    </row>
    <row r="30" spans="2:35" ht="12.75" x14ac:dyDescent="0.2">
      <c r="B30" s="8">
        <v>50</v>
      </c>
      <c r="C30" s="61">
        <f>PROCESSAMENTO!P7</f>
        <v>2440</v>
      </c>
      <c r="D30" s="61">
        <f>PROCESSAMENTO!Q7</f>
        <v>2050</v>
      </c>
      <c r="E30" s="61">
        <f>PROCESSAMENTO!R7</f>
        <v>2260</v>
      </c>
      <c r="I30" s="8">
        <v>50</v>
      </c>
      <c r="J30" s="61">
        <f>PROCESSAMENTO!P13</f>
        <v>2440</v>
      </c>
      <c r="K30" s="61">
        <f>PROCESSAMENTO!Q13</f>
        <v>2120</v>
      </c>
      <c r="L30" s="61">
        <f>PROCESSAMENTO!R13</f>
        <v>2180</v>
      </c>
      <c r="Q30" s="8">
        <v>50</v>
      </c>
      <c r="R30" s="61">
        <f>PROCESSAMENTO!P19</f>
        <v>2370</v>
      </c>
      <c r="S30" s="61">
        <f>PROCESSAMENTO!Q19</f>
        <v>3640</v>
      </c>
      <c r="T30" s="61">
        <f>PROCESSAMENTO!R19</f>
        <v>2830</v>
      </c>
      <c r="Y30" s="8">
        <v>50</v>
      </c>
      <c r="Z30" s="61">
        <f>PROCESSAMENTO!P25</f>
        <v>2370</v>
      </c>
      <c r="AA30" s="61">
        <f>PROCESSAMENTO!Q25</f>
        <v>3800</v>
      </c>
      <c r="AB30" s="61">
        <f>PROCESSAMENTO!R25</f>
        <v>3900</v>
      </c>
      <c r="AC30" s="43"/>
      <c r="AD30" s="43"/>
      <c r="AE30" s="43"/>
      <c r="AF30" s="43"/>
      <c r="AG30" s="43"/>
      <c r="AH30" s="43"/>
      <c r="AI30" s="43"/>
    </row>
    <row r="31" spans="2:35" ht="12.75" x14ac:dyDescent="0.2">
      <c r="B31" s="8">
        <v>75</v>
      </c>
      <c r="C31" s="61">
        <f>PROCESSAMENTO!P8</f>
        <v>3740</v>
      </c>
      <c r="D31" s="61">
        <f>PROCESSAMENTO!Q8</f>
        <v>1620</v>
      </c>
      <c r="E31" s="61">
        <f>PROCESSAMENTO!R8</f>
        <v>3300</v>
      </c>
      <c r="I31" s="8">
        <v>75</v>
      </c>
      <c r="J31" s="61">
        <f>PROCESSAMENTO!P14</f>
        <v>3740</v>
      </c>
      <c r="K31" s="61">
        <f>PROCESSAMENTO!Q14</f>
        <v>1720</v>
      </c>
      <c r="L31" s="61">
        <f>PROCESSAMENTO!R14</f>
        <v>3520</v>
      </c>
      <c r="Q31" s="8">
        <v>75</v>
      </c>
      <c r="R31" s="61">
        <f>PROCESSAMENTO!P20</f>
        <v>5360</v>
      </c>
      <c r="S31" s="61">
        <f>PROCESSAMENTO!Q20</f>
        <v>2070</v>
      </c>
      <c r="T31" s="61">
        <f>PROCESSAMENTO!R20</f>
        <v>4380</v>
      </c>
      <c r="Y31" s="8">
        <v>75</v>
      </c>
      <c r="Z31" s="61">
        <f>PROCESSAMENTO!P26</f>
        <v>5360</v>
      </c>
      <c r="AA31" s="61">
        <f>PROCESSAMENTO!Q26</f>
        <v>2780</v>
      </c>
      <c r="AB31" s="61">
        <f>PROCESSAMENTO!R26</f>
        <v>6140</v>
      </c>
      <c r="AC31" s="43"/>
      <c r="AD31" s="43"/>
      <c r="AE31" s="43"/>
      <c r="AF31" s="43"/>
      <c r="AG31" s="43"/>
      <c r="AH31" s="43"/>
      <c r="AI31" s="43"/>
    </row>
    <row r="32" spans="2:35" ht="12.75" x14ac:dyDescent="0.2">
      <c r="B32" s="56">
        <v>100</v>
      </c>
      <c r="C32" s="61">
        <f>PROCESSAMENTO!P9</f>
        <v>4920</v>
      </c>
      <c r="D32" s="61">
        <f>PROCESSAMENTO!Q9</f>
        <v>2050</v>
      </c>
      <c r="E32" s="61">
        <f>PROCESSAMENTO!R9</f>
        <v>4160</v>
      </c>
      <c r="I32" s="56">
        <v>100</v>
      </c>
      <c r="J32" s="61">
        <f>PROCESSAMENTO!P15</f>
        <v>4920</v>
      </c>
      <c r="K32" s="61">
        <f>PROCESSAMENTO!Q15</f>
        <v>2110</v>
      </c>
      <c r="L32" s="61">
        <f>PROCESSAMENTO!R15</f>
        <v>4540</v>
      </c>
      <c r="Q32" s="56">
        <v>100</v>
      </c>
      <c r="R32" s="61">
        <f>PROCESSAMENTO!P21</f>
        <v>6520</v>
      </c>
      <c r="S32" s="61">
        <f>PROCESSAMENTO!Q21</f>
        <v>6940</v>
      </c>
      <c r="T32" s="61">
        <f>PROCESSAMENTO!R21</f>
        <v>7800</v>
      </c>
      <c r="Y32" s="56">
        <v>100</v>
      </c>
      <c r="Z32" s="61">
        <f>PROCESSAMENTO!P27</f>
        <v>6520</v>
      </c>
      <c r="AA32" s="61">
        <f>PROCESSAMENTO!Q27</f>
        <v>2890</v>
      </c>
      <c r="AB32" s="61">
        <f>PROCESSAMENTO!R27</f>
        <v>6020</v>
      </c>
      <c r="AC32" s="43"/>
      <c r="AD32" s="43"/>
      <c r="AE32" s="43"/>
      <c r="AF32" s="43"/>
      <c r="AG32" s="43"/>
      <c r="AH32" s="43"/>
      <c r="AI32" s="43"/>
    </row>
    <row r="34" spans="2:35" ht="12.75" x14ac:dyDescent="0.2">
      <c r="B34" s="98" t="s">
        <v>13</v>
      </c>
      <c r="C34" s="62" t="s">
        <v>23</v>
      </c>
      <c r="D34" s="62" t="s">
        <v>24</v>
      </c>
      <c r="E34" s="62" t="s">
        <v>25</v>
      </c>
      <c r="I34" s="98" t="s">
        <v>14</v>
      </c>
      <c r="J34" s="62" t="s">
        <v>23</v>
      </c>
      <c r="K34" s="62" t="s">
        <v>24</v>
      </c>
      <c r="L34" s="62" t="s">
        <v>25</v>
      </c>
      <c r="Q34" s="98" t="s">
        <v>18</v>
      </c>
      <c r="R34" s="62" t="s">
        <v>23</v>
      </c>
      <c r="S34" s="62" t="s">
        <v>24</v>
      </c>
      <c r="T34" s="62" t="s">
        <v>25</v>
      </c>
      <c r="Y34" s="98" t="s">
        <v>29</v>
      </c>
      <c r="Z34" s="62" t="s">
        <v>23</v>
      </c>
      <c r="AA34" s="62" t="s">
        <v>24</v>
      </c>
      <c r="AB34" s="62" t="s">
        <v>25</v>
      </c>
      <c r="AC34" s="41"/>
      <c r="AD34" s="41"/>
      <c r="AE34" s="41"/>
      <c r="AF34" s="41"/>
      <c r="AG34" s="41"/>
      <c r="AH34" s="41"/>
      <c r="AI34" s="41"/>
    </row>
    <row r="35" spans="2:35" ht="12.75" x14ac:dyDescent="0.2">
      <c r="B35" s="83"/>
      <c r="C35" s="122" t="s">
        <v>6</v>
      </c>
      <c r="D35" s="85"/>
      <c r="E35" s="93"/>
      <c r="I35" s="83"/>
      <c r="J35" s="122" t="s">
        <v>6</v>
      </c>
      <c r="K35" s="85"/>
      <c r="L35" s="93"/>
      <c r="Q35" s="83"/>
      <c r="R35" s="122" t="s">
        <v>6</v>
      </c>
      <c r="S35" s="85"/>
      <c r="T35" s="93"/>
      <c r="Y35" s="83"/>
      <c r="Z35" s="122" t="s">
        <v>6</v>
      </c>
      <c r="AA35" s="85"/>
      <c r="AB35" s="93"/>
      <c r="AC35" s="63"/>
      <c r="AD35" s="63"/>
      <c r="AE35" s="63"/>
      <c r="AF35" s="63"/>
      <c r="AG35" s="63"/>
      <c r="AH35" s="63"/>
      <c r="AI35" s="63"/>
    </row>
    <row r="36" spans="2:35" ht="12.75" x14ac:dyDescent="0.2">
      <c r="B36" s="8">
        <v>0</v>
      </c>
      <c r="C36" s="13">
        <f>PROCESSAMENTO!T5</f>
        <v>-3.8929999999999998</v>
      </c>
      <c r="D36" s="13">
        <f>PROCESSAMENTO!U5</f>
        <v>40.076850999999998</v>
      </c>
      <c r="E36" s="13">
        <f>PROCESSAMENTO!V5</f>
        <v>35.191311999999996</v>
      </c>
      <c r="I36" s="8">
        <v>0</v>
      </c>
      <c r="J36" s="13">
        <f>PROCESSAMENTO!T11</f>
        <v>-3.8929999999999998</v>
      </c>
      <c r="K36" s="13">
        <f>PROCESSAMENTO!U11</f>
        <v>9.5422322500000014</v>
      </c>
      <c r="L36" s="13">
        <f>PROCESSAMENTO!V11</f>
        <v>7.0994627499999998</v>
      </c>
      <c r="Q36" s="8">
        <v>0</v>
      </c>
      <c r="R36" s="13">
        <f>PROCESSAMENTO!T17</f>
        <v>-3.8929999999999998</v>
      </c>
      <c r="S36" s="13">
        <f>PROCESSAMENTO!U17</f>
        <v>44.555261749999993</v>
      </c>
      <c r="T36" s="13">
        <f>PROCESSAMENTO!V17</f>
        <v>53.919211500000003</v>
      </c>
      <c r="Y36" s="8">
        <v>0</v>
      </c>
      <c r="Z36" s="13">
        <f>PROCESSAMENTO!T23</f>
        <v>-3.8929999999999998</v>
      </c>
      <c r="AA36" s="13">
        <f>PROCESSAMENTO!U23</f>
        <v>15.649155999999998</v>
      </c>
      <c r="AB36" s="13">
        <f>PROCESSAMENTO!V23</f>
        <v>9.9493605000000009</v>
      </c>
      <c r="AC36" s="63"/>
      <c r="AD36" s="63"/>
      <c r="AE36" s="63"/>
      <c r="AF36" s="63"/>
      <c r="AG36" s="63"/>
      <c r="AH36" s="63"/>
      <c r="AI36" s="63"/>
    </row>
    <row r="37" spans="2:35" ht="12.75" x14ac:dyDescent="0.2">
      <c r="B37" s="8">
        <v>25</v>
      </c>
      <c r="C37" s="13">
        <f>PROCESSAMENTO!T6</f>
        <v>423.59166250000004</v>
      </c>
      <c r="D37" s="13">
        <f>PROCESSAMENTO!U6</f>
        <v>407.3065325</v>
      </c>
      <c r="E37" s="13">
        <f>PROCESSAMENTO!V6</f>
        <v>468.37576999999999</v>
      </c>
      <c r="I37" s="8">
        <v>25</v>
      </c>
      <c r="J37" s="13">
        <f>PROCESSAMENTO!T12</f>
        <v>423.59166250000004</v>
      </c>
      <c r="K37" s="13">
        <f>PROCESSAMENTO!U12</f>
        <v>364.55806625000002</v>
      </c>
      <c r="L37" s="13">
        <f>PROCESSAMENTO!V12</f>
        <v>549.80142000000001</v>
      </c>
      <c r="Q37" s="8">
        <v>25</v>
      </c>
      <c r="R37" s="13">
        <f>PROCESSAMENTO!T18</f>
        <v>498.91038874999992</v>
      </c>
      <c r="S37" s="13">
        <f>PROCESSAMENTO!U18</f>
        <v>535.55193125000005</v>
      </c>
      <c r="T37" s="13">
        <f>PROCESSAMENTO!V18</f>
        <v>635.29835249999996</v>
      </c>
      <c r="Y37" s="8">
        <v>25</v>
      </c>
      <c r="Z37" s="13">
        <f>PROCESSAMENTO!T24</f>
        <v>498.91038874999992</v>
      </c>
      <c r="AA37" s="13">
        <f>PROCESSAMENTO!U24</f>
        <v>513.15987749999999</v>
      </c>
      <c r="AB37" s="13">
        <f>PROCESSAMENTO!V24</f>
        <v>549.80142000000001</v>
      </c>
      <c r="AC37" s="63"/>
      <c r="AD37" s="63"/>
      <c r="AE37" s="63"/>
      <c r="AF37" s="63"/>
      <c r="AG37" s="63"/>
      <c r="AH37" s="63"/>
      <c r="AI37" s="63"/>
    </row>
    <row r="38" spans="2:35" ht="12.75" x14ac:dyDescent="0.2">
      <c r="B38" s="8">
        <v>50</v>
      </c>
      <c r="C38" s="13">
        <f>PROCESSAMENTO!T7</f>
        <v>977.28608250000002</v>
      </c>
      <c r="D38" s="13">
        <f>PROCESSAMENTO!U7</f>
        <v>961.00095249999993</v>
      </c>
      <c r="E38" s="13">
        <f>PROCESSAMENTO!V7</f>
        <v>989.49992999999995</v>
      </c>
      <c r="I38" s="8">
        <v>50</v>
      </c>
      <c r="J38" s="13">
        <f>PROCESSAMENTO!T13</f>
        <v>977.28608250000002</v>
      </c>
      <c r="K38" s="13">
        <f>PROCESSAMENTO!U13</f>
        <v>838.86247749999984</v>
      </c>
      <c r="L38" s="13">
        <f>PROCESSAMENTO!V13</f>
        <v>965.07223499999986</v>
      </c>
      <c r="Q38" s="8">
        <v>50</v>
      </c>
      <c r="R38" s="13">
        <f>PROCESSAMENTO!T19</f>
        <v>1005.7850599999999</v>
      </c>
      <c r="S38" s="13">
        <f>PROCESSAMENTO!U19</f>
        <v>1140.1373825000001</v>
      </c>
      <c r="T38" s="13">
        <f>PROCESSAMENTO!V19</f>
        <v>1665.3328250000002</v>
      </c>
      <c r="Y38" s="8">
        <v>50</v>
      </c>
      <c r="Z38" s="13">
        <f>PROCESSAMENTO!T25</f>
        <v>1005.7850599999999</v>
      </c>
      <c r="AA38" s="13">
        <f>PROCESSAMENTO!U25</f>
        <v>1217.4917499999999</v>
      </c>
      <c r="AB38" s="13">
        <f>PROCESSAMENTO!V25</f>
        <v>1347.77279</v>
      </c>
      <c r="AC38" s="63"/>
      <c r="AD38" s="63"/>
      <c r="AE38" s="63"/>
      <c r="AF38" s="63"/>
      <c r="AG38" s="63"/>
      <c r="AH38" s="63"/>
      <c r="AI38" s="63"/>
    </row>
    <row r="39" spans="2:35" ht="12.75" x14ac:dyDescent="0.2">
      <c r="B39" s="8">
        <v>75</v>
      </c>
      <c r="C39" s="13">
        <f>PROCESSAMENTO!T8</f>
        <v>1339.6302250000001</v>
      </c>
      <c r="D39" s="13">
        <f>PROCESSAMENTO!U8</f>
        <v>614.94193999999993</v>
      </c>
      <c r="E39" s="13">
        <f>PROCESSAMENTO!V8</f>
        <v>1339.6302250000001</v>
      </c>
      <c r="I39" s="8">
        <v>75</v>
      </c>
      <c r="J39" s="13">
        <f>PROCESSAMENTO!T14</f>
        <v>1339.6302250000001</v>
      </c>
      <c r="K39" s="13">
        <f>PROCESSAMENTO!U14</f>
        <v>631.22706999999991</v>
      </c>
      <c r="L39" s="13">
        <f>PROCESSAMENTO!V14</f>
        <v>1388.4856149999998</v>
      </c>
      <c r="Q39" s="8">
        <v>75</v>
      </c>
      <c r="R39" s="13">
        <f>PROCESSAMENTO!T20</f>
        <v>2219.0272450000002</v>
      </c>
      <c r="S39" s="13">
        <f>PROCESSAMENTO!U20</f>
        <v>655.654765</v>
      </c>
      <c r="T39" s="13">
        <f>PROCESSAMENTO!V20</f>
        <v>1339.6302250000001</v>
      </c>
      <c r="Y39" s="8">
        <v>75</v>
      </c>
      <c r="Z39" s="13">
        <f>PROCESSAMENTO!T26</f>
        <v>2219.0272450000002</v>
      </c>
      <c r="AA39" s="13">
        <f>PROCESSAMENTO!U26</f>
        <v>1050.5691674999998</v>
      </c>
      <c r="AB39" s="13">
        <f>PROCESSAMENTO!V26</f>
        <v>2251.5975050000002</v>
      </c>
      <c r="AC39" s="63"/>
      <c r="AD39" s="63"/>
      <c r="AE39" s="63"/>
      <c r="AF39" s="63"/>
      <c r="AG39" s="63"/>
      <c r="AH39" s="63"/>
      <c r="AI39" s="63"/>
    </row>
    <row r="40" spans="2:35" ht="12.75" x14ac:dyDescent="0.2">
      <c r="B40" s="56">
        <v>100</v>
      </c>
      <c r="C40" s="13">
        <f>PROCESSAMENTO!T9</f>
        <v>1583.9071750000001</v>
      </c>
      <c r="D40" s="13">
        <f>PROCESSAMENTO!U9</f>
        <v>822.57734750000009</v>
      </c>
      <c r="E40" s="13">
        <f>PROCESSAMENTO!V9</f>
        <v>1828.1841249999998</v>
      </c>
      <c r="I40" s="56">
        <v>100</v>
      </c>
      <c r="J40" s="13">
        <f>PROCESSAMENTO!T15</f>
        <v>1583.9071750000001</v>
      </c>
      <c r="K40" s="13">
        <f>PROCESSAMENTO!U15</f>
        <v>798.1496525</v>
      </c>
      <c r="L40" s="13">
        <f>PROCESSAMENTO!V15</f>
        <v>2267.8826349999999</v>
      </c>
      <c r="Q40" s="56">
        <v>100</v>
      </c>
      <c r="R40" s="13">
        <f>PROCESSAMENTO!T21</f>
        <v>2430.7339349999997</v>
      </c>
      <c r="S40" s="13">
        <f>PROCESSAMENTO!U21</f>
        <v>1209.3491849999998</v>
      </c>
      <c r="T40" s="13">
        <f>PROCESSAMENTO!V21</f>
        <v>2373.7359799999999</v>
      </c>
      <c r="Y40" s="56">
        <v>100</v>
      </c>
      <c r="Z40" s="13">
        <f>PROCESSAMENTO!T27</f>
        <v>2430.7339349999997</v>
      </c>
      <c r="AA40" s="13">
        <f>PROCESSAMENTO!U27</f>
        <v>1046.497885</v>
      </c>
      <c r="AB40" s="13">
        <f>PROCESSAMENTO!V27</f>
        <v>1934.0374699999998</v>
      </c>
      <c r="AC40" s="63"/>
      <c r="AD40" s="63"/>
      <c r="AE40" s="63"/>
      <c r="AF40" s="63"/>
      <c r="AG40" s="63"/>
      <c r="AH40" s="63"/>
      <c r="AI40" s="63"/>
    </row>
    <row r="42" spans="2:35" ht="12.75" x14ac:dyDescent="0.2">
      <c r="B42" s="123" t="s">
        <v>30</v>
      </c>
      <c r="C42" s="100"/>
    </row>
    <row r="44" spans="2:35" ht="12.75" x14ac:dyDescent="0.2">
      <c r="B44" s="4" t="s">
        <v>31</v>
      </c>
      <c r="C44" s="4" t="s">
        <v>13</v>
      </c>
      <c r="D44" s="4" t="s">
        <v>14</v>
      </c>
      <c r="E44" s="4" t="s">
        <v>18</v>
      </c>
      <c r="F44" s="8" t="s">
        <v>16</v>
      </c>
    </row>
    <row r="45" spans="2:35" ht="12.75" x14ac:dyDescent="0.2">
      <c r="B45" s="4">
        <v>0</v>
      </c>
      <c r="C45" s="64">
        <f>PROCESSAMENTO!W5</f>
        <v>1003.9638325199074</v>
      </c>
      <c r="D45" s="65">
        <f>PROCESSAMENTO!W11</f>
        <v>282.36482789622397</v>
      </c>
      <c r="E45" s="65">
        <f>PROCESSAMENTO!W17</f>
        <v>1485.0298356023634</v>
      </c>
      <c r="F45" s="65">
        <f>PROCESSAMENTO!W23</f>
        <v>355.57052401746733</v>
      </c>
    </row>
    <row r="46" spans="2:35" ht="12.75" x14ac:dyDescent="0.2">
      <c r="B46" s="4">
        <v>25</v>
      </c>
      <c r="C46" s="66">
        <f>PROCESSAMENTO!W6</f>
        <v>-10.572471430548976</v>
      </c>
      <c r="D46" s="67">
        <f>PROCESSAMENTO!W12</f>
        <v>-29.795146758819868</v>
      </c>
      <c r="E46" s="67">
        <f>PROCESSAMENTO!W18</f>
        <v>-27.337166518363077</v>
      </c>
      <c r="F46" s="67">
        <f>PROCESSAMENTO!W24</f>
        <v>-10.200435268045938</v>
      </c>
    </row>
    <row r="47" spans="2:35" ht="12.75" x14ac:dyDescent="0.2">
      <c r="B47" s="4">
        <v>50</v>
      </c>
      <c r="C47" s="66">
        <f>PROCESSAMENTO!W7</f>
        <v>-1.2497719673604304</v>
      </c>
      <c r="D47" s="67">
        <f>PROCESSAMENTO!W13</f>
        <v>1.2497719673604535</v>
      </c>
      <c r="E47" s="67">
        <f>PROCESSAMENTO!W19</f>
        <v>-65.575418767902576</v>
      </c>
      <c r="F47" s="67">
        <f>PROCESSAMENTO!W25</f>
        <v>-34.002068990764293</v>
      </c>
    </row>
    <row r="48" spans="2:35" ht="12.75" x14ac:dyDescent="0.2">
      <c r="B48" s="4">
        <v>75</v>
      </c>
      <c r="C48" s="66">
        <f>PROCESSAMENTO!W8</f>
        <v>0</v>
      </c>
      <c r="D48" s="67">
        <f>PROCESSAMENTO!W14</f>
        <v>-3.6469310029190862</v>
      </c>
      <c r="E48" s="67">
        <f>PROCESSAMENTO!W20</f>
        <v>39.629843301000122</v>
      </c>
      <c r="F48" s="67">
        <f>PROCESSAMENTO!W26</f>
        <v>-1.4677719741111137</v>
      </c>
    </row>
    <row r="49" spans="2:32" ht="12.75" x14ac:dyDescent="0.2">
      <c r="B49" s="45">
        <v>100</v>
      </c>
      <c r="C49" s="68">
        <f>PROCESSAMENTO!W9</f>
        <v>-15.422428400830984</v>
      </c>
      <c r="D49" s="61">
        <f>PROCESSAMENTO!W15</f>
        <v>-43.182799522326796</v>
      </c>
      <c r="E49" s="61">
        <f>PROCESSAMENTO!W21</f>
        <v>2.3448866278324219</v>
      </c>
      <c r="F49" s="61">
        <f>PROCESSAMENTO!W27</f>
        <v>20.434012042539738</v>
      </c>
    </row>
    <row r="50" spans="2:32" ht="12.75" x14ac:dyDescent="0.2"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</row>
    <row r="51" spans="2:32" ht="12.75" x14ac:dyDescent="0.2">
      <c r="B51" s="12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3" spans="2:32" ht="12.75" x14ac:dyDescent="0.2">
      <c r="B53" s="98" t="s">
        <v>2</v>
      </c>
      <c r="C53" s="113" t="s">
        <v>24</v>
      </c>
      <c r="D53" s="85"/>
      <c r="E53" s="85"/>
      <c r="F53" s="93"/>
      <c r="J53" s="98" t="s">
        <v>2</v>
      </c>
      <c r="K53" s="113" t="s">
        <v>25</v>
      </c>
      <c r="L53" s="85"/>
      <c r="M53" s="85"/>
      <c r="N53" s="93"/>
    </row>
    <row r="54" spans="2:32" ht="12.75" x14ac:dyDescent="0.2">
      <c r="B54" s="83"/>
      <c r="C54" s="70" t="s">
        <v>13</v>
      </c>
      <c r="D54" s="70" t="s">
        <v>14</v>
      </c>
      <c r="E54" s="70" t="s">
        <v>18</v>
      </c>
      <c r="F54" s="70" t="s">
        <v>16</v>
      </c>
      <c r="J54" s="83"/>
      <c r="K54" s="70" t="s">
        <v>13</v>
      </c>
      <c r="L54" s="70" t="s">
        <v>14</v>
      </c>
      <c r="M54" s="70" t="s">
        <v>18</v>
      </c>
      <c r="N54" s="70" t="s">
        <v>16</v>
      </c>
    </row>
    <row r="55" spans="2:32" ht="12.75" x14ac:dyDescent="0.2">
      <c r="B55" s="8">
        <v>0</v>
      </c>
      <c r="C55" s="21">
        <f t="shared" ref="C55:C59" si="0">D4</f>
        <v>7.85</v>
      </c>
      <c r="D55" s="19">
        <f t="shared" ref="D55:D59" si="1">K4</f>
        <v>7.77</v>
      </c>
      <c r="E55" s="13">
        <f t="shared" ref="E55:E59" si="2">S4</f>
        <v>7.85</v>
      </c>
      <c r="F55" s="13">
        <f t="shared" ref="F55:F59" si="3">AA4</f>
        <v>7.77</v>
      </c>
      <c r="J55" s="8">
        <v>0</v>
      </c>
      <c r="K55" s="21">
        <f t="shared" ref="K55:K59" si="4">E4</f>
        <v>8.8699999999999992</v>
      </c>
      <c r="L55" s="19">
        <f t="shared" ref="L55:L59" si="5">L4</f>
        <v>9.25</v>
      </c>
      <c r="M55" s="13">
        <f t="shared" ref="M55:M59" si="6">T4</f>
        <v>8.5500000000000007</v>
      </c>
      <c r="N55" s="13">
        <f t="shared" ref="N55:N59" si="7">AB4</f>
        <v>8.69</v>
      </c>
    </row>
    <row r="56" spans="2:32" ht="12.75" x14ac:dyDescent="0.2">
      <c r="B56" s="8">
        <v>25</v>
      </c>
      <c r="C56" s="21">
        <f t="shared" si="0"/>
        <v>9.09</v>
      </c>
      <c r="D56" s="19">
        <f t="shared" si="1"/>
        <v>8.98</v>
      </c>
      <c r="E56" s="13">
        <f t="shared" si="2"/>
        <v>8.9700000000000006</v>
      </c>
      <c r="F56" s="13" t="str">
        <f t="shared" si="3"/>
        <v>8,,98</v>
      </c>
      <c r="J56" s="8">
        <v>25</v>
      </c>
      <c r="K56" s="21">
        <f t="shared" si="4"/>
        <v>9.11</v>
      </c>
      <c r="L56" s="19">
        <f t="shared" si="5"/>
        <v>9.19</v>
      </c>
      <c r="M56" s="13">
        <f t="shared" si="6"/>
        <v>9.18</v>
      </c>
      <c r="N56" s="13">
        <f t="shared" si="7"/>
        <v>9.2100000000000009</v>
      </c>
    </row>
    <row r="57" spans="2:32" ht="12.75" x14ac:dyDescent="0.2">
      <c r="B57" s="8">
        <v>50</v>
      </c>
      <c r="C57" s="21">
        <f t="shared" si="0"/>
        <v>90.9</v>
      </c>
      <c r="D57" s="19">
        <f t="shared" si="1"/>
        <v>9.1</v>
      </c>
      <c r="E57" s="13">
        <f t="shared" si="2"/>
        <v>9.02</v>
      </c>
      <c r="F57" s="13">
        <f t="shared" si="3"/>
        <v>9.02</v>
      </c>
      <c r="J57" s="8">
        <v>50</v>
      </c>
      <c r="K57" s="21">
        <f t="shared" si="4"/>
        <v>9.17</v>
      </c>
      <c r="L57" s="19">
        <f t="shared" si="5"/>
        <v>9.1999999999999993</v>
      </c>
      <c r="M57" s="13">
        <f t="shared" si="6"/>
        <v>8.9499999999999993</v>
      </c>
      <c r="N57" s="13">
        <f t="shared" si="7"/>
        <v>9.19</v>
      </c>
    </row>
    <row r="58" spans="2:32" ht="12.75" x14ac:dyDescent="0.2">
      <c r="B58" s="8">
        <v>75</v>
      </c>
      <c r="C58" s="21">
        <f t="shared" si="0"/>
        <v>9.1199999999999992</v>
      </c>
      <c r="D58" s="19">
        <f t="shared" si="1"/>
        <v>9.1300000000000008</v>
      </c>
      <c r="E58" s="13">
        <f t="shared" si="2"/>
        <v>9.01</v>
      </c>
      <c r="F58" s="13">
        <f t="shared" si="3"/>
        <v>9.01</v>
      </c>
      <c r="J58" s="8">
        <v>75</v>
      </c>
      <c r="K58" s="21">
        <f t="shared" si="4"/>
        <v>9.26</v>
      </c>
      <c r="L58" s="19">
        <f t="shared" si="5"/>
        <v>9.27</v>
      </c>
      <c r="M58" s="13">
        <f t="shared" si="6"/>
        <v>9.3000000000000007</v>
      </c>
      <c r="N58" s="13">
        <f t="shared" si="7"/>
        <v>9.2899999999999991</v>
      </c>
    </row>
    <row r="59" spans="2:32" ht="12.75" x14ac:dyDescent="0.2">
      <c r="B59" s="56">
        <v>100</v>
      </c>
      <c r="C59" s="21">
        <f t="shared" si="0"/>
        <v>9.15</v>
      </c>
      <c r="D59" s="19">
        <f t="shared" si="1"/>
        <v>9.16</v>
      </c>
      <c r="E59" s="13">
        <f t="shared" si="2"/>
        <v>8.9600000000000009</v>
      </c>
      <c r="F59" s="13">
        <f t="shared" si="3"/>
        <v>9</v>
      </c>
      <c r="J59" s="56">
        <v>100</v>
      </c>
      <c r="K59" s="21">
        <f t="shared" si="4"/>
        <v>9.33</v>
      </c>
      <c r="L59" s="19">
        <f t="shared" si="5"/>
        <v>9.34</v>
      </c>
      <c r="M59" s="13">
        <f t="shared" si="6"/>
        <v>9.2899999999999991</v>
      </c>
      <c r="N59" s="13">
        <f t="shared" si="7"/>
        <v>9.2799999999999994</v>
      </c>
    </row>
    <row r="61" spans="2:32" ht="12.75" x14ac:dyDescent="0.2">
      <c r="B61" s="98" t="s">
        <v>32</v>
      </c>
      <c r="C61" s="114" t="s">
        <v>24</v>
      </c>
      <c r="D61" s="85"/>
      <c r="E61" s="85"/>
      <c r="F61" s="93"/>
      <c r="J61" s="98" t="s">
        <v>32</v>
      </c>
      <c r="K61" s="114" t="s">
        <v>25</v>
      </c>
      <c r="L61" s="85"/>
      <c r="M61" s="85"/>
      <c r="N61" s="93"/>
    </row>
    <row r="62" spans="2:32" ht="12.75" x14ac:dyDescent="0.2">
      <c r="B62" s="83"/>
      <c r="C62" s="71" t="s">
        <v>13</v>
      </c>
      <c r="D62" s="71" t="s">
        <v>14</v>
      </c>
      <c r="E62" s="71" t="s">
        <v>18</v>
      </c>
      <c r="F62" s="71" t="s">
        <v>16</v>
      </c>
      <c r="J62" s="83"/>
      <c r="K62" s="71" t="s">
        <v>13</v>
      </c>
      <c r="L62" s="71" t="s">
        <v>14</v>
      </c>
      <c r="M62" s="71" t="s">
        <v>18</v>
      </c>
      <c r="N62" s="71" t="s">
        <v>16</v>
      </c>
    </row>
    <row r="63" spans="2:32" ht="12.75" x14ac:dyDescent="0.2">
      <c r="B63" s="8">
        <v>0</v>
      </c>
      <c r="C63" s="21">
        <f t="shared" ref="C63:C67" si="8">D12</f>
        <v>8.67</v>
      </c>
      <c r="D63" s="19">
        <f t="shared" ref="D63:D67" si="9">K12</f>
        <v>1.88</v>
      </c>
      <c r="E63" s="13">
        <f t="shared" ref="E63:E67" si="10">S12</f>
        <v>8.67</v>
      </c>
      <c r="F63" s="13">
        <f t="shared" ref="F63:F67" si="11">AA12</f>
        <v>1.88</v>
      </c>
      <c r="J63" s="8">
        <v>0</v>
      </c>
      <c r="K63" s="21">
        <f t="shared" ref="K63:K67" si="12">E12</f>
        <v>5.22</v>
      </c>
      <c r="L63" s="19">
        <f t="shared" ref="L63:L67" si="13">L12</f>
        <v>3.57</v>
      </c>
      <c r="M63" s="13">
        <f t="shared" ref="M63:M67" si="14">T12</f>
        <v>4.8499999999999996</v>
      </c>
      <c r="N63" s="13">
        <f t="shared" ref="N63:N67" si="15">AB12</f>
        <v>2.0099999999999998</v>
      </c>
    </row>
    <row r="64" spans="2:32" ht="12.75" x14ac:dyDescent="0.2">
      <c r="B64" s="8">
        <v>25</v>
      </c>
      <c r="C64" s="21">
        <f t="shared" si="8"/>
        <v>24.4</v>
      </c>
      <c r="D64" s="19">
        <f t="shared" si="9"/>
        <v>23.5</v>
      </c>
      <c r="E64" s="13">
        <f t="shared" si="10"/>
        <v>46.6</v>
      </c>
      <c r="F64" s="13">
        <f t="shared" si="11"/>
        <v>38.700000000000003</v>
      </c>
      <c r="J64" s="8">
        <v>25</v>
      </c>
      <c r="K64" s="21">
        <f t="shared" si="12"/>
        <v>26.1</v>
      </c>
      <c r="L64" s="19">
        <f t="shared" si="13"/>
        <v>24.1</v>
      </c>
      <c r="M64" s="13">
        <f t="shared" si="14"/>
        <v>19.7</v>
      </c>
      <c r="N64" s="13">
        <f t="shared" si="15"/>
        <v>32.200000000000003</v>
      </c>
    </row>
    <row r="65" spans="2:14" ht="12.75" x14ac:dyDescent="0.2">
      <c r="B65" s="8">
        <v>50</v>
      </c>
      <c r="C65" s="21">
        <f t="shared" si="8"/>
        <v>36.299999999999997</v>
      </c>
      <c r="D65" s="19">
        <f t="shared" si="9"/>
        <v>39.9</v>
      </c>
      <c r="E65" s="13">
        <f t="shared" si="10"/>
        <v>83.4</v>
      </c>
      <c r="F65" s="13">
        <f t="shared" si="11"/>
        <v>84.3</v>
      </c>
      <c r="J65" s="8">
        <v>50</v>
      </c>
      <c r="K65" s="21">
        <f t="shared" si="12"/>
        <v>40.200000000000003</v>
      </c>
      <c r="L65" s="19">
        <f t="shared" si="13"/>
        <v>42.2</v>
      </c>
      <c r="M65" s="13">
        <f t="shared" si="14"/>
        <v>171</v>
      </c>
      <c r="N65" s="13">
        <f t="shared" si="15"/>
        <v>98.9</v>
      </c>
    </row>
    <row r="66" spans="2:14" ht="12.75" x14ac:dyDescent="0.2">
      <c r="B66" s="8">
        <v>75</v>
      </c>
      <c r="C66" s="21">
        <f t="shared" si="8"/>
        <v>47.6</v>
      </c>
      <c r="D66" s="19">
        <f t="shared" si="9"/>
        <v>53.4</v>
      </c>
      <c r="E66" s="13">
        <f t="shared" si="10"/>
        <v>72.099999999999994</v>
      </c>
      <c r="F66" s="13">
        <f t="shared" si="11"/>
        <v>95.3</v>
      </c>
      <c r="J66" s="8">
        <v>75</v>
      </c>
      <c r="K66" s="21">
        <f t="shared" si="12"/>
        <v>49.6</v>
      </c>
      <c r="L66" s="19">
        <f t="shared" si="13"/>
        <v>55.5</v>
      </c>
      <c r="M66" s="13">
        <f t="shared" si="14"/>
        <v>90.3</v>
      </c>
      <c r="N66" s="13">
        <f t="shared" si="15"/>
        <v>132</v>
      </c>
    </row>
    <row r="67" spans="2:14" ht="12.75" x14ac:dyDescent="0.2">
      <c r="B67" s="56">
        <v>100</v>
      </c>
      <c r="C67" s="21">
        <f t="shared" si="8"/>
        <v>56.5</v>
      </c>
      <c r="D67" s="19">
        <f t="shared" si="9"/>
        <v>62</v>
      </c>
      <c r="E67" s="13">
        <f t="shared" si="10"/>
        <v>184</v>
      </c>
      <c r="F67" s="13">
        <f t="shared" si="11"/>
        <v>96.7</v>
      </c>
      <c r="J67" s="56">
        <v>100</v>
      </c>
      <c r="K67" s="21">
        <f t="shared" si="12"/>
        <v>60</v>
      </c>
      <c r="L67" s="19">
        <f t="shared" si="13"/>
        <v>73.8</v>
      </c>
      <c r="M67" s="13">
        <f t="shared" si="14"/>
        <v>22.3</v>
      </c>
      <c r="N67" s="13">
        <f t="shared" si="15"/>
        <v>105</v>
      </c>
    </row>
    <row r="69" spans="2:14" ht="12.75" x14ac:dyDescent="0.2">
      <c r="B69" s="98" t="s">
        <v>33</v>
      </c>
      <c r="C69" s="115" t="s">
        <v>24</v>
      </c>
      <c r="D69" s="85"/>
      <c r="E69" s="85"/>
      <c r="F69" s="93"/>
      <c r="J69" s="98" t="s">
        <v>33</v>
      </c>
      <c r="K69" s="115" t="s">
        <v>25</v>
      </c>
      <c r="L69" s="85"/>
      <c r="M69" s="85"/>
      <c r="N69" s="93"/>
    </row>
    <row r="70" spans="2:14" ht="12.75" x14ac:dyDescent="0.2">
      <c r="B70" s="83"/>
      <c r="C70" s="72" t="s">
        <v>13</v>
      </c>
      <c r="D70" s="72" t="s">
        <v>14</v>
      </c>
      <c r="E70" s="72" t="s">
        <v>18</v>
      </c>
      <c r="F70" s="72" t="s">
        <v>16</v>
      </c>
      <c r="J70" s="83"/>
      <c r="K70" s="72" t="s">
        <v>13</v>
      </c>
      <c r="L70" s="72" t="s">
        <v>14</v>
      </c>
      <c r="M70" s="72" t="s">
        <v>18</v>
      </c>
      <c r="N70" s="72" t="s">
        <v>16</v>
      </c>
    </row>
    <row r="71" spans="2:14" ht="12.75" x14ac:dyDescent="0.2">
      <c r="B71" s="8">
        <v>0</v>
      </c>
      <c r="C71" s="21"/>
      <c r="D71" s="19"/>
      <c r="E71" s="13"/>
      <c r="F71" s="13"/>
      <c r="J71" s="8">
        <v>0</v>
      </c>
      <c r="K71" s="21"/>
      <c r="L71" s="19"/>
      <c r="M71" s="13"/>
      <c r="N71" s="13"/>
    </row>
    <row r="72" spans="2:14" ht="12.75" x14ac:dyDescent="0.2">
      <c r="B72" s="8">
        <v>25</v>
      </c>
      <c r="C72" s="21"/>
      <c r="D72" s="19"/>
      <c r="E72" s="13"/>
      <c r="F72" s="13"/>
      <c r="J72" s="8">
        <v>25</v>
      </c>
      <c r="K72" s="21"/>
      <c r="L72" s="19"/>
      <c r="M72" s="13"/>
      <c r="N72" s="13"/>
    </row>
    <row r="73" spans="2:14" ht="12.75" x14ac:dyDescent="0.2">
      <c r="B73" s="8">
        <v>50</v>
      </c>
      <c r="C73" s="21"/>
      <c r="D73" s="19"/>
      <c r="E73" s="13"/>
      <c r="F73" s="13"/>
      <c r="J73" s="8">
        <v>50</v>
      </c>
      <c r="K73" s="21"/>
      <c r="L73" s="19"/>
      <c r="M73" s="13"/>
      <c r="N73" s="13"/>
    </row>
    <row r="74" spans="2:14" ht="12.75" x14ac:dyDescent="0.2">
      <c r="B74" s="8">
        <v>75</v>
      </c>
      <c r="C74" s="21"/>
      <c r="D74" s="19"/>
      <c r="E74" s="13"/>
      <c r="F74" s="13"/>
      <c r="J74" s="8">
        <v>75</v>
      </c>
      <c r="K74" s="21"/>
      <c r="L74" s="19"/>
      <c r="M74" s="13"/>
      <c r="N74" s="13"/>
    </row>
    <row r="75" spans="2:14" ht="12.75" x14ac:dyDescent="0.2">
      <c r="B75" s="56">
        <v>100</v>
      </c>
      <c r="C75" s="21"/>
      <c r="D75" s="19"/>
      <c r="E75" s="13"/>
      <c r="F75" s="13"/>
      <c r="J75" s="56">
        <v>100</v>
      </c>
      <c r="K75" s="21"/>
      <c r="L75" s="19"/>
      <c r="M75" s="13"/>
      <c r="N75" s="13"/>
    </row>
    <row r="77" spans="2:14" ht="12.75" x14ac:dyDescent="0.2">
      <c r="B77" s="98" t="s">
        <v>34</v>
      </c>
      <c r="C77" s="116" t="s">
        <v>24</v>
      </c>
      <c r="D77" s="85"/>
      <c r="E77" s="85"/>
      <c r="F77" s="93"/>
      <c r="J77" s="98" t="s">
        <v>34</v>
      </c>
      <c r="K77" s="116" t="s">
        <v>25</v>
      </c>
      <c r="L77" s="85"/>
      <c r="M77" s="85"/>
      <c r="N77" s="93"/>
    </row>
    <row r="78" spans="2:14" ht="12.75" x14ac:dyDescent="0.2">
      <c r="B78" s="83"/>
      <c r="C78" s="73" t="s">
        <v>13</v>
      </c>
      <c r="D78" s="73" t="s">
        <v>14</v>
      </c>
      <c r="E78" s="73" t="s">
        <v>18</v>
      </c>
      <c r="F78" s="73" t="s">
        <v>16</v>
      </c>
      <c r="J78" s="83"/>
      <c r="K78" s="73" t="s">
        <v>13</v>
      </c>
      <c r="L78" s="73" t="s">
        <v>14</v>
      </c>
      <c r="M78" s="73" t="s">
        <v>18</v>
      </c>
      <c r="N78" s="73" t="s">
        <v>16</v>
      </c>
    </row>
    <row r="79" spans="2:14" ht="12.75" x14ac:dyDescent="0.2">
      <c r="B79" s="8">
        <v>0</v>
      </c>
      <c r="C79" s="19">
        <f t="shared" ref="C79:C83" si="16">D28</f>
        <v>96</v>
      </c>
      <c r="D79" s="19">
        <f t="shared" ref="D79:D83" si="17">K28</f>
        <v>17</v>
      </c>
      <c r="E79" s="19">
        <f t="shared" ref="E79:E83" si="18">S28</f>
        <v>96</v>
      </c>
      <c r="F79" s="74">
        <f t="shared" ref="F79:F83" si="19">AA28</f>
        <v>17</v>
      </c>
      <c r="G79" s="52"/>
      <c r="J79" s="8">
        <v>0</v>
      </c>
      <c r="K79" s="19">
        <f t="shared" ref="K79:K83" si="20">E28</f>
        <v>0</v>
      </c>
      <c r="L79" s="19">
        <f t="shared" ref="L79:L83" si="21">L28</f>
        <v>0</v>
      </c>
      <c r="M79" s="19">
        <f t="shared" ref="M79:M83" si="22">T28</f>
        <v>0</v>
      </c>
      <c r="N79" s="19">
        <f t="shared" ref="N79:N83" si="23">AB28</f>
        <v>0</v>
      </c>
    </row>
    <row r="80" spans="2:14" ht="12.75" x14ac:dyDescent="0.2">
      <c r="B80" s="8">
        <v>25</v>
      </c>
      <c r="C80" s="19">
        <f t="shared" si="16"/>
        <v>535</v>
      </c>
      <c r="D80" s="19">
        <f t="shared" si="17"/>
        <v>490</v>
      </c>
      <c r="E80" s="19">
        <f t="shared" si="18"/>
        <v>885</v>
      </c>
      <c r="F80" s="74">
        <f t="shared" si="19"/>
        <v>820</v>
      </c>
      <c r="G80" s="52"/>
      <c r="J80" s="8">
        <v>25</v>
      </c>
      <c r="K80" s="19">
        <f t="shared" si="20"/>
        <v>1270</v>
      </c>
      <c r="L80" s="19">
        <f t="shared" si="21"/>
        <v>990</v>
      </c>
      <c r="M80" s="19">
        <f t="shared" si="22"/>
        <v>1540</v>
      </c>
      <c r="N80" s="19">
        <f t="shared" si="23"/>
        <v>1600</v>
      </c>
    </row>
    <row r="81" spans="2:14" ht="12.75" x14ac:dyDescent="0.2">
      <c r="B81" s="8">
        <v>50</v>
      </c>
      <c r="C81" s="19">
        <f t="shared" si="16"/>
        <v>2050</v>
      </c>
      <c r="D81" s="19">
        <f t="shared" si="17"/>
        <v>2120</v>
      </c>
      <c r="E81" s="19">
        <f t="shared" si="18"/>
        <v>3640</v>
      </c>
      <c r="F81" s="74">
        <f t="shared" si="19"/>
        <v>3800</v>
      </c>
      <c r="G81" s="52"/>
      <c r="J81" s="8">
        <v>50</v>
      </c>
      <c r="K81" s="19">
        <f t="shared" si="20"/>
        <v>2260</v>
      </c>
      <c r="L81" s="19">
        <f t="shared" si="21"/>
        <v>2180</v>
      </c>
      <c r="M81" s="19">
        <f t="shared" si="22"/>
        <v>2830</v>
      </c>
      <c r="N81" s="19">
        <f t="shared" si="23"/>
        <v>3900</v>
      </c>
    </row>
    <row r="82" spans="2:14" ht="12.75" x14ac:dyDescent="0.2">
      <c r="B82" s="8">
        <v>75</v>
      </c>
      <c r="C82" s="19">
        <f t="shared" si="16"/>
        <v>1620</v>
      </c>
      <c r="D82" s="19">
        <f t="shared" si="17"/>
        <v>1720</v>
      </c>
      <c r="E82" s="19">
        <f t="shared" si="18"/>
        <v>2070</v>
      </c>
      <c r="F82" s="74">
        <f t="shared" si="19"/>
        <v>2780</v>
      </c>
      <c r="G82" s="52"/>
      <c r="J82" s="8">
        <v>75</v>
      </c>
      <c r="K82" s="19">
        <f t="shared" si="20"/>
        <v>3300</v>
      </c>
      <c r="L82" s="19">
        <f t="shared" si="21"/>
        <v>3520</v>
      </c>
      <c r="M82" s="19">
        <f t="shared" si="22"/>
        <v>4380</v>
      </c>
      <c r="N82" s="19">
        <f t="shared" si="23"/>
        <v>6140</v>
      </c>
    </row>
    <row r="83" spans="2:14" ht="12.75" x14ac:dyDescent="0.2">
      <c r="B83" s="56">
        <v>100</v>
      </c>
      <c r="C83" s="19">
        <f t="shared" si="16"/>
        <v>2050</v>
      </c>
      <c r="D83" s="19">
        <f t="shared" si="17"/>
        <v>2110</v>
      </c>
      <c r="E83" s="19">
        <f t="shared" si="18"/>
        <v>6940</v>
      </c>
      <c r="F83" s="74">
        <f t="shared" si="19"/>
        <v>2890</v>
      </c>
      <c r="G83" s="52"/>
      <c r="J83" s="56">
        <v>100</v>
      </c>
      <c r="K83" s="19">
        <f t="shared" si="20"/>
        <v>4160</v>
      </c>
      <c r="L83" s="19">
        <f t="shared" si="21"/>
        <v>4540</v>
      </c>
      <c r="M83" s="19">
        <f t="shared" si="22"/>
        <v>7800</v>
      </c>
      <c r="N83" s="19">
        <f t="shared" si="23"/>
        <v>6020</v>
      </c>
    </row>
    <row r="85" spans="2:14" ht="12.75" x14ac:dyDescent="0.2">
      <c r="B85" s="98" t="s">
        <v>6</v>
      </c>
      <c r="C85" s="117" t="s">
        <v>24</v>
      </c>
      <c r="D85" s="85"/>
      <c r="E85" s="85"/>
      <c r="F85" s="93"/>
      <c r="J85" s="98" t="s">
        <v>6</v>
      </c>
      <c r="K85" s="117" t="s">
        <v>25</v>
      </c>
      <c r="L85" s="85"/>
      <c r="M85" s="85"/>
      <c r="N85" s="93"/>
    </row>
    <row r="86" spans="2:14" ht="12.75" x14ac:dyDescent="0.2">
      <c r="B86" s="83"/>
      <c r="C86" s="75" t="s">
        <v>13</v>
      </c>
      <c r="D86" s="75" t="s">
        <v>14</v>
      </c>
      <c r="E86" s="75" t="s">
        <v>18</v>
      </c>
      <c r="F86" s="75" t="s">
        <v>16</v>
      </c>
      <c r="J86" s="83"/>
      <c r="K86" s="75" t="s">
        <v>13</v>
      </c>
      <c r="L86" s="75" t="s">
        <v>14</v>
      </c>
      <c r="M86" s="75" t="s">
        <v>18</v>
      </c>
      <c r="N86" s="75" t="s">
        <v>16</v>
      </c>
    </row>
    <row r="87" spans="2:14" ht="12.75" x14ac:dyDescent="0.2">
      <c r="B87" s="8">
        <v>0</v>
      </c>
      <c r="C87" s="13">
        <f t="shared" ref="C87:C91" si="24">D36</f>
        <v>40.076850999999998</v>
      </c>
      <c r="D87" s="13">
        <f t="shared" ref="D87:D91" si="25">K36</f>
        <v>9.5422322500000014</v>
      </c>
      <c r="E87" s="13">
        <f t="shared" ref="E87:E91" si="26">S36</f>
        <v>44.555261749999993</v>
      </c>
      <c r="F87" s="76">
        <f t="shared" ref="F87:F91" si="27">AA36</f>
        <v>15.649155999999998</v>
      </c>
      <c r="G87" s="77"/>
      <c r="J87" s="8">
        <v>0</v>
      </c>
      <c r="K87" s="19">
        <f t="shared" ref="K87:K91" si="28">E36</f>
        <v>35.191311999999996</v>
      </c>
      <c r="L87" s="19">
        <f t="shared" ref="L87:L91" si="29">L36</f>
        <v>7.0994627499999998</v>
      </c>
      <c r="M87" s="13">
        <f t="shared" ref="M87:M91" si="30">T36</f>
        <v>53.919211500000003</v>
      </c>
      <c r="N87" s="19">
        <f t="shared" ref="N87:N91" si="31">AB36</f>
        <v>9.9493605000000009</v>
      </c>
    </row>
    <row r="88" spans="2:14" ht="12.75" x14ac:dyDescent="0.2">
      <c r="B88" s="8">
        <v>25</v>
      </c>
      <c r="C88" s="13">
        <f t="shared" si="24"/>
        <v>407.3065325</v>
      </c>
      <c r="D88" s="13">
        <f t="shared" si="25"/>
        <v>364.55806625000002</v>
      </c>
      <c r="E88" s="13">
        <f t="shared" si="26"/>
        <v>535.55193125000005</v>
      </c>
      <c r="F88" s="76">
        <f t="shared" si="27"/>
        <v>513.15987749999999</v>
      </c>
      <c r="G88" s="77"/>
      <c r="J88" s="8">
        <v>25</v>
      </c>
      <c r="K88" s="19">
        <f t="shared" si="28"/>
        <v>468.37576999999999</v>
      </c>
      <c r="L88" s="19">
        <f t="shared" si="29"/>
        <v>549.80142000000001</v>
      </c>
      <c r="M88" s="13">
        <f t="shared" si="30"/>
        <v>635.29835249999996</v>
      </c>
      <c r="N88" s="19">
        <f t="shared" si="31"/>
        <v>549.80142000000001</v>
      </c>
    </row>
    <row r="89" spans="2:14" ht="12.75" x14ac:dyDescent="0.2">
      <c r="B89" s="8">
        <v>50</v>
      </c>
      <c r="C89" s="13">
        <f t="shared" si="24"/>
        <v>961.00095249999993</v>
      </c>
      <c r="D89" s="13">
        <f t="shared" si="25"/>
        <v>838.86247749999984</v>
      </c>
      <c r="E89" s="13">
        <f t="shared" si="26"/>
        <v>1140.1373825000001</v>
      </c>
      <c r="F89" s="76">
        <f t="shared" si="27"/>
        <v>1217.4917499999999</v>
      </c>
      <c r="G89" s="77"/>
      <c r="J89" s="8">
        <v>50</v>
      </c>
      <c r="K89" s="19">
        <f t="shared" si="28"/>
        <v>989.49992999999995</v>
      </c>
      <c r="L89" s="19">
        <f t="shared" si="29"/>
        <v>965.07223499999986</v>
      </c>
      <c r="M89" s="13">
        <f t="shared" si="30"/>
        <v>1665.3328250000002</v>
      </c>
      <c r="N89" s="19">
        <f t="shared" si="31"/>
        <v>1347.77279</v>
      </c>
    </row>
    <row r="90" spans="2:14" ht="12.75" x14ac:dyDescent="0.2">
      <c r="B90" s="8">
        <v>75</v>
      </c>
      <c r="C90" s="13">
        <f t="shared" si="24"/>
        <v>614.94193999999993</v>
      </c>
      <c r="D90" s="13">
        <f t="shared" si="25"/>
        <v>631.22706999999991</v>
      </c>
      <c r="E90" s="13">
        <f t="shared" si="26"/>
        <v>655.654765</v>
      </c>
      <c r="F90" s="76">
        <f t="shared" si="27"/>
        <v>1050.5691674999998</v>
      </c>
      <c r="G90" s="77"/>
      <c r="J90" s="8">
        <v>75</v>
      </c>
      <c r="K90" s="19">
        <f t="shared" si="28"/>
        <v>1339.6302250000001</v>
      </c>
      <c r="L90" s="19">
        <f t="shared" si="29"/>
        <v>1388.4856149999998</v>
      </c>
      <c r="M90" s="13">
        <f t="shared" si="30"/>
        <v>1339.6302250000001</v>
      </c>
      <c r="N90" s="19">
        <f t="shared" si="31"/>
        <v>2251.5975050000002</v>
      </c>
    </row>
    <row r="91" spans="2:14" ht="12.75" x14ac:dyDescent="0.2">
      <c r="B91" s="56">
        <v>100</v>
      </c>
      <c r="C91" s="13">
        <f t="shared" si="24"/>
        <v>822.57734750000009</v>
      </c>
      <c r="D91" s="13">
        <f t="shared" si="25"/>
        <v>798.1496525</v>
      </c>
      <c r="E91" s="13">
        <f t="shared" si="26"/>
        <v>1209.3491849999998</v>
      </c>
      <c r="F91" s="76">
        <f t="shared" si="27"/>
        <v>1046.497885</v>
      </c>
      <c r="G91" s="77"/>
      <c r="J91" s="56">
        <v>100</v>
      </c>
      <c r="K91" s="19">
        <f t="shared" si="28"/>
        <v>1828.1841249999998</v>
      </c>
      <c r="L91" s="19">
        <f t="shared" si="29"/>
        <v>2267.8826349999999</v>
      </c>
      <c r="M91" s="13">
        <f t="shared" si="30"/>
        <v>2373.7359799999999</v>
      </c>
      <c r="N91" s="19">
        <f t="shared" si="31"/>
        <v>1934.0374699999998</v>
      </c>
    </row>
  </sheetData>
  <mergeCells count="62">
    <mergeCell ref="B69:B70"/>
    <mergeCell ref="B18:B19"/>
    <mergeCell ref="C19:E19"/>
    <mergeCell ref="B26:B27"/>
    <mergeCell ref="C27:E27"/>
    <mergeCell ref="C35:E35"/>
    <mergeCell ref="B42:C42"/>
    <mergeCell ref="B51:AF51"/>
    <mergeCell ref="R11:T11"/>
    <mergeCell ref="J19:L19"/>
    <mergeCell ref="B34:B35"/>
    <mergeCell ref="B53:B54"/>
    <mergeCell ref="B61:B62"/>
    <mergeCell ref="B2:B3"/>
    <mergeCell ref="B10:B11"/>
    <mergeCell ref="Q10:Q11"/>
    <mergeCell ref="C11:E11"/>
    <mergeCell ref="J11:L11"/>
    <mergeCell ref="Y26:Y27"/>
    <mergeCell ref="Z27:AB27"/>
    <mergeCell ref="Y34:Y35"/>
    <mergeCell ref="Z35:AB35"/>
    <mergeCell ref="I10:I11"/>
    <mergeCell ref="I18:I19"/>
    <mergeCell ref="I26:I27"/>
    <mergeCell ref="J27:L27"/>
    <mergeCell ref="I34:I35"/>
    <mergeCell ref="J35:L35"/>
    <mergeCell ref="Q18:Q19"/>
    <mergeCell ref="R19:T19"/>
    <mergeCell ref="Q26:Q27"/>
    <mergeCell ref="R27:T27"/>
    <mergeCell ref="Q34:Q35"/>
    <mergeCell ref="R35:T35"/>
    <mergeCell ref="Z3:AB3"/>
    <mergeCell ref="Y10:Y11"/>
    <mergeCell ref="Z11:AB11"/>
    <mergeCell ref="Y18:Y19"/>
    <mergeCell ref="Z19:AB19"/>
    <mergeCell ref="I2:I3"/>
    <mergeCell ref="Q2:Q3"/>
    <mergeCell ref="Y2:Y3"/>
    <mergeCell ref="C3:E3"/>
    <mergeCell ref="J3:L3"/>
    <mergeCell ref="R3:T3"/>
    <mergeCell ref="B77:B78"/>
    <mergeCell ref="C77:F77"/>
    <mergeCell ref="K77:N77"/>
    <mergeCell ref="B85:B86"/>
    <mergeCell ref="C85:F85"/>
    <mergeCell ref="K85:N85"/>
    <mergeCell ref="C69:F69"/>
    <mergeCell ref="J77:J78"/>
    <mergeCell ref="J85:J86"/>
    <mergeCell ref="J69:J70"/>
    <mergeCell ref="K69:N69"/>
    <mergeCell ref="C53:F53"/>
    <mergeCell ref="J53:J54"/>
    <mergeCell ref="K53:N53"/>
    <mergeCell ref="C61:F61"/>
    <mergeCell ref="J61:J62"/>
    <mergeCell ref="K61:N6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Dia 0</vt:lpstr>
      <vt:lpstr>Dados prontos dia 0</vt:lpstr>
      <vt:lpstr>Dia 7</vt:lpstr>
      <vt:lpstr>Dados prontos dia 7</vt:lpstr>
      <vt:lpstr>Dia 14</vt:lpstr>
      <vt:lpstr>Dados prontos dia 14</vt:lpstr>
      <vt:lpstr>PROCESSAMENTO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2026-03-11T00:24:26Z</dcterms:modified>
</cp:coreProperties>
</file>