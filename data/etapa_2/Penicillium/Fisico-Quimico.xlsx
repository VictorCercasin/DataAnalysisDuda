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 0" sheetId="1" r:id="rId4"/>
    <sheet state="visible" name="Dados prontos dia 0" sheetId="2" r:id="rId5"/>
    <sheet state="visible" name="Dia 7" sheetId="3" r:id="rId6"/>
    <sheet state="visible" name="Dados prontos dia 7" sheetId="4" r:id="rId7"/>
    <sheet state="visible" name="Dia 14" sheetId="5" r:id="rId8"/>
    <sheet state="visible" name="Dados prontos dia 14" sheetId="6" r:id="rId9"/>
    <sheet state="visible" name="PROCESSAMENTO" sheetId="7" r:id="rId10"/>
    <sheet state="visible" name="Gráficos" sheetId="8" r:id="rId11"/>
  </sheets>
  <definedNames/>
  <calcPr/>
  <extLst>
    <ext uri="GoogleSheetsCustomDataVersion2">
      <go:sheetsCustomData xmlns:go="http://customooxmlschemas.google.com/" r:id="rId12" roundtripDataChecksum="3i5H5G32hlBkvYIA0LYhNS9PnjoQmD8puOMiNldglEQ="/>
    </ext>
  </extLst>
</workbook>
</file>

<file path=xl/sharedStrings.xml><?xml version="1.0" encoding="utf-8"?>
<sst xmlns="http://schemas.openxmlformats.org/spreadsheetml/2006/main" count="281" uniqueCount="35">
  <si>
    <t xml:space="preserve"> </t>
  </si>
  <si>
    <t>AMOSTRA</t>
  </si>
  <si>
    <t>pH</t>
  </si>
  <si>
    <t>TURBIDEZ (NTU)</t>
  </si>
  <si>
    <t>CONDUTIVIDADE mS/cm</t>
  </si>
  <si>
    <t>COR</t>
  </si>
  <si>
    <t>DQO</t>
  </si>
  <si>
    <t>Medida</t>
  </si>
  <si>
    <t>Diluição</t>
  </si>
  <si>
    <t>Triplicata  1</t>
  </si>
  <si>
    <t>Triplicata  2</t>
  </si>
  <si>
    <t>Média</t>
  </si>
  <si>
    <t>Valor</t>
  </si>
  <si>
    <t>AI</t>
  </si>
  <si>
    <t>A</t>
  </si>
  <si>
    <t>BI</t>
  </si>
  <si>
    <t>B</t>
  </si>
  <si>
    <t>μS/cm</t>
  </si>
  <si>
    <t>I</t>
  </si>
  <si>
    <t>X</t>
  </si>
  <si>
    <t>Duplicata 1</t>
  </si>
  <si>
    <t>Duplicata 2</t>
  </si>
  <si>
    <t>8,,98</t>
  </si>
  <si>
    <t>Dia 0</t>
  </si>
  <si>
    <t>Dia 7</t>
  </si>
  <si>
    <t>Dia 14</t>
  </si>
  <si>
    <t>Degradação DQO (%)</t>
  </si>
  <si>
    <t>TURBIDEZ
(NTU)</t>
  </si>
  <si>
    <t>CONDUTIVIDADE
mS/cm</t>
  </si>
  <si>
    <t>Concentrações</t>
  </si>
  <si>
    <t>DEGRADAÇÃO DE DQO (%)</t>
  </si>
  <si>
    <t>(%)</t>
  </si>
  <si>
    <t>Turbidez</t>
  </si>
  <si>
    <t>Condutividade</t>
  </si>
  <si>
    <t>Cor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</si>
</sst>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0.0000"/>
  </numFmts>
  <fonts count="5">
    <font>
      <sz val="10.0"/>
      <color rgb="FF000000"/>
      <name val="Arial"/>
      <scheme val="minor"/>
    </font>
    <font>
      <sz val="11.0"/>
      <color rgb="FF4D5156"/>
      <name val="Arial"/>
    </font>
    <font>
      <color theme="1"/>
      <name val="Arial"/>
    </font>
    <font/>
    <font>
      <color theme="1"/>
      <name val="Arial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D7E6B"/>
        <bgColor rgb="FFDD7E6B"/>
      </patternFill>
    </fill>
    <fill>
      <patternFill patternType="solid">
        <fgColor rgb="FFD5A6BD"/>
        <bgColor rgb="FFD5A6BD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E06666"/>
        <bgColor rgb="FFE06666"/>
      </patternFill>
    </fill>
    <fill>
      <patternFill patternType="solid">
        <fgColor rgb="FFCC0000"/>
        <bgColor rgb="FFCC0000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rgb="FFF4CCCC"/>
        <bgColor rgb="FFF4CCCC"/>
      </patternFill>
    </fill>
    <fill>
      <patternFill patternType="solid">
        <fgColor rgb="FF741B47"/>
        <bgColor rgb="FF741B47"/>
      </patternFill>
    </fill>
    <fill>
      <patternFill patternType="solid">
        <fgColor rgb="FF351C75"/>
        <bgColor rgb="FF351C75"/>
      </patternFill>
    </fill>
    <fill>
      <patternFill patternType="solid">
        <fgColor rgb="FF0B5394"/>
        <bgColor rgb="FF0B5394"/>
      </patternFill>
    </fill>
    <fill>
      <patternFill patternType="solid">
        <fgColor rgb="FF1155CC"/>
        <bgColor rgb="FF1155CC"/>
      </patternFill>
    </fill>
    <fill>
      <patternFill patternType="solid">
        <fgColor rgb="FF38761D"/>
        <bgColor rgb="FF38761D"/>
      </patternFill>
    </fill>
  </fills>
  <borders count="16">
    <border/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1" fillId="3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3" fontId="2" numFmtId="2" xfId="0" applyAlignment="1" applyBorder="1" applyFont="1" applyNumberFormat="1">
      <alignment horizontal="center" vertical="center"/>
    </xf>
    <xf borderId="4" fillId="3" fontId="2" numFmtId="2" xfId="0" applyAlignment="1" applyBorder="1" applyFont="1" applyNumberFormat="1">
      <alignment horizontal="center" vertical="center"/>
    </xf>
    <xf borderId="5" fillId="0" fontId="3" numFmtId="0" xfId="0" applyBorder="1" applyFont="1"/>
    <xf borderId="4" fillId="3" fontId="2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3" fontId="2" numFmtId="2" xfId="0" applyAlignment="1" applyBorder="1" applyFont="1" applyNumberFormat="1">
      <alignment horizontal="center" vertical="center"/>
    </xf>
    <xf borderId="10" fillId="3" fontId="2" numFmtId="0" xfId="0" applyAlignment="1" applyBorder="1" applyFont="1">
      <alignment horizontal="center" vertical="center"/>
    </xf>
    <xf borderId="8" fillId="3" fontId="2" numFmtId="0" xfId="0" applyAlignment="1" applyBorder="1" applyFont="1">
      <alignment horizontal="center" vertical="center"/>
    </xf>
    <xf borderId="8" fillId="3" fontId="2" numFmtId="164" xfId="0" applyAlignment="1" applyBorder="1" applyFont="1" applyNumberFormat="1">
      <alignment horizontal="center"/>
    </xf>
    <xf borderId="9" fillId="3" fontId="2" numFmtId="164" xfId="0" applyAlignment="1" applyBorder="1" applyFont="1" applyNumberFormat="1">
      <alignment horizontal="center"/>
    </xf>
    <xf borderId="11" fillId="3" fontId="2" numFmtId="0" xfId="0" applyAlignment="1" applyBorder="1" applyFont="1">
      <alignment horizontal="center" vertical="center"/>
    </xf>
    <xf borderId="6" fillId="3" fontId="2" numFmtId="0" xfId="0" applyAlignment="1" applyBorder="1" applyFont="1">
      <alignment horizontal="center" vertical="center"/>
    </xf>
    <xf borderId="10" fillId="0" fontId="2" numFmtId="2" xfId="0" applyAlignment="1" applyBorder="1" applyFont="1" applyNumberFormat="1">
      <alignment horizontal="center" readingOrder="0" vertical="center"/>
    </xf>
    <xf borderId="10" fillId="0" fontId="2" numFmtId="2" xfId="0" applyAlignment="1" applyBorder="1" applyFont="1" applyNumberFormat="1">
      <alignment horizontal="center" vertical="center"/>
    </xf>
    <xf borderId="10" fillId="0" fontId="2" numFmtId="164" xfId="0" applyAlignment="1" applyBorder="1" applyFont="1" applyNumberFormat="1">
      <alignment horizontal="center" readingOrder="0" vertical="center"/>
    </xf>
    <xf borderId="10" fillId="0" fontId="2" numFmtId="164" xfId="0" applyAlignment="1" applyBorder="1" applyFont="1" applyNumberFormat="1">
      <alignment horizontal="center" readingOrder="0"/>
    </xf>
    <xf borderId="10" fillId="0" fontId="2" numFmtId="165" xfId="0" applyAlignment="1" applyBorder="1" applyFont="1" applyNumberFormat="1">
      <alignment horizontal="center" vertical="center"/>
    </xf>
    <xf borderId="10" fillId="0" fontId="2" numFmtId="165" xfId="0" applyAlignment="1" applyBorder="1" applyFont="1" applyNumberFormat="1">
      <alignment horizontal="center"/>
    </xf>
    <xf borderId="11" fillId="0" fontId="3" numFmtId="0" xfId="0" applyBorder="1" applyFont="1"/>
    <xf borderId="5" fillId="3" fontId="2" numFmtId="0" xfId="0" applyAlignment="1" applyBorder="1" applyFont="1">
      <alignment horizontal="center" vertical="center"/>
    </xf>
    <xf borderId="10" fillId="0" fontId="2" numFmtId="2" xfId="0" applyAlignment="1" applyBorder="1" applyFont="1" applyNumberFormat="1">
      <alignment horizontal="center" readingOrder="0"/>
    </xf>
    <xf borderId="5" fillId="3" fontId="2" numFmtId="1" xfId="0" applyAlignment="1" applyBorder="1" applyFont="1" applyNumberFormat="1">
      <alignment horizontal="center" vertical="center"/>
    </xf>
    <xf borderId="4" fillId="3" fontId="2" numFmtId="165" xfId="0" applyAlignment="1" applyBorder="1" applyFont="1" applyNumberFormat="1">
      <alignment horizontal="center"/>
    </xf>
    <xf borderId="12" fillId="0" fontId="3" numFmtId="0" xfId="0" applyBorder="1" applyFont="1"/>
    <xf borderId="2" fillId="3" fontId="2" numFmtId="164" xfId="0" applyAlignment="1" applyBorder="1" applyFont="1" applyNumberFormat="1">
      <alignment horizontal="center" vertical="center"/>
    </xf>
    <xf borderId="6" fillId="3" fontId="2" numFmtId="164" xfId="0" applyAlignment="1" applyBorder="1" applyFont="1" applyNumberFormat="1">
      <alignment horizontal="center" vertical="center"/>
    </xf>
    <xf borderId="11" fillId="3" fontId="2" numFmtId="164" xfId="0" applyAlignment="1" applyBorder="1" applyFont="1" applyNumberFormat="1">
      <alignment horizontal="center" readingOrder="0" vertical="center"/>
    </xf>
    <xf borderId="10" fillId="0" fontId="2" numFmtId="2" xfId="0" applyAlignment="1" applyBorder="1" applyFont="1" applyNumberFormat="1">
      <alignment horizontal="center"/>
    </xf>
    <xf borderId="10" fillId="0" fontId="2" numFmtId="2" xfId="0" applyAlignment="1" applyBorder="1" applyFont="1" applyNumberFormat="1">
      <alignment horizontal="center" vertical="bottom"/>
    </xf>
    <xf borderId="2" fillId="3" fontId="2" numFmtId="0" xfId="0" applyAlignment="1" applyBorder="1" applyFont="1">
      <alignment horizontal="center" vertical="center"/>
    </xf>
    <xf borderId="13" fillId="3" fontId="2" numFmtId="2" xfId="0" applyAlignment="1" applyBorder="1" applyFont="1" applyNumberFormat="1">
      <alignment horizontal="center" vertical="center"/>
    </xf>
    <xf borderId="3" fillId="3" fontId="2" numFmtId="0" xfId="0" applyAlignment="1" applyBorder="1" applyFont="1">
      <alignment horizontal="center" vertical="center"/>
    </xf>
    <xf borderId="9" fillId="0" fontId="3" numFmtId="0" xfId="0" applyBorder="1" applyFont="1"/>
    <xf borderId="12" fillId="0" fontId="2" numFmtId="2" xfId="0" applyAlignment="1" applyBorder="1" applyFont="1" applyNumberFormat="1">
      <alignment horizontal="center" vertical="center"/>
    </xf>
    <xf borderId="5" fillId="3" fontId="2" numFmtId="165" xfId="0" applyAlignment="1" applyBorder="1" applyFont="1" applyNumberFormat="1">
      <alignment horizontal="center"/>
    </xf>
    <xf borderId="12" fillId="0" fontId="2" numFmtId="2" xfId="0" applyAlignment="1" applyBorder="1" applyFont="1" applyNumberFormat="1">
      <alignment horizontal="center"/>
    </xf>
    <xf borderId="11" fillId="3" fontId="2" numFmtId="164" xfId="0" applyAlignment="1" applyBorder="1" applyFont="1" applyNumberFormat="1">
      <alignment horizontal="center" vertical="center"/>
    </xf>
    <xf borderId="10" fillId="0" fontId="2" numFmtId="164" xfId="0" applyAlignment="1" applyBorder="1" applyFont="1" applyNumberFormat="1">
      <alignment horizontal="center" vertical="center"/>
    </xf>
    <xf borderId="10" fillId="0" fontId="2" numFmtId="164" xfId="0" applyAlignment="1" applyBorder="1" applyFont="1" applyNumberFormat="1">
      <alignment horizontal="center"/>
    </xf>
    <xf borderId="2" fillId="3" fontId="2" numFmtId="0" xfId="0" applyAlignment="1" applyBorder="1" applyFont="1">
      <alignment horizontal="center" readingOrder="0" vertical="center"/>
    </xf>
    <xf borderId="0" fillId="0" fontId="4" numFmtId="0" xfId="0" applyAlignment="1" applyFont="1">
      <alignment readingOrder="0"/>
    </xf>
    <xf borderId="12" fillId="4" fontId="2" numFmtId="2" xfId="0" applyAlignment="1" applyBorder="1" applyFill="1" applyFont="1" applyNumberFormat="1">
      <alignment horizontal="center" vertical="center"/>
    </xf>
    <xf borderId="10" fillId="4" fontId="2" numFmtId="2" xfId="0" applyAlignment="1" applyBorder="1" applyFont="1" applyNumberFormat="1">
      <alignment horizontal="center" vertical="center"/>
    </xf>
    <xf borderId="12" fillId="5" fontId="2" numFmtId="2" xfId="0" applyAlignment="1" applyBorder="1" applyFill="1" applyFont="1" applyNumberFormat="1">
      <alignment horizontal="center" vertical="center"/>
    </xf>
    <xf borderId="10" fillId="5" fontId="2" numFmtId="2" xfId="0" applyAlignment="1" applyBorder="1" applyFont="1" applyNumberFormat="1">
      <alignment horizontal="center" vertical="center"/>
    </xf>
    <xf borderId="12" fillId="6" fontId="2" numFmtId="2" xfId="0" applyAlignment="1" applyBorder="1" applyFill="1" applyFont="1" applyNumberFormat="1">
      <alignment horizontal="center" vertical="center"/>
    </xf>
    <xf borderId="10" fillId="6" fontId="2" numFmtId="2" xfId="0" applyAlignment="1" applyBorder="1" applyFont="1" applyNumberFormat="1">
      <alignment horizontal="center" vertical="center"/>
    </xf>
    <xf borderId="12" fillId="7" fontId="2" numFmtId="2" xfId="0" applyAlignment="1" applyBorder="1" applyFill="1" applyFont="1" applyNumberFormat="1">
      <alignment horizontal="center" vertical="center"/>
    </xf>
    <xf borderId="10" fillId="7" fontId="2" numFmtId="2" xfId="0" applyAlignment="1" applyBorder="1" applyFont="1" applyNumberFormat="1">
      <alignment horizontal="center" vertical="center"/>
    </xf>
    <xf borderId="12" fillId="8" fontId="2" numFmtId="2" xfId="0" applyAlignment="1" applyBorder="1" applyFill="1" applyFont="1" applyNumberFormat="1">
      <alignment horizontal="center" vertical="center"/>
    </xf>
    <xf borderId="10" fillId="8" fontId="2" numFmtId="2" xfId="0" applyAlignment="1" applyBorder="1" applyFont="1" applyNumberFormat="1">
      <alignment horizontal="center" vertical="center"/>
    </xf>
    <xf borderId="3" fillId="9" fontId="2" numFmtId="0" xfId="0" applyAlignment="1" applyBorder="1" applyFill="1" applyFont="1">
      <alignment horizontal="center" shrinkToFit="0" vertical="center" wrapText="1"/>
    </xf>
    <xf borderId="13" fillId="4" fontId="2" numFmtId="2" xfId="0" applyAlignment="1" applyBorder="1" applyFont="1" applyNumberFormat="1">
      <alignment horizontal="center" vertical="center"/>
    </xf>
    <xf borderId="1" fillId="0" fontId="3" numFmtId="0" xfId="0" applyBorder="1" applyFont="1"/>
    <xf borderId="13" fillId="5" fontId="2" numFmtId="2" xfId="0" applyAlignment="1" applyBorder="1" applyFont="1" applyNumberFormat="1">
      <alignment horizontal="center" vertical="center"/>
    </xf>
    <xf borderId="13" fillId="6" fontId="2" numFmtId="2" xfId="0" applyAlignment="1" applyBorder="1" applyFont="1" applyNumberFormat="1">
      <alignment horizontal="center" vertical="center"/>
    </xf>
    <xf borderId="13" fillId="7" fontId="2" numFmtId="2" xfId="0" applyAlignment="1" applyBorder="1" applyFont="1" applyNumberFormat="1">
      <alignment horizontal="center" vertical="center"/>
    </xf>
    <xf borderId="13" fillId="8" fontId="2" numFmtId="0" xfId="0" applyAlignment="1" applyBorder="1" applyFont="1">
      <alignment horizontal="center" vertical="center"/>
    </xf>
    <xf borderId="14" fillId="0" fontId="3" numFmtId="0" xfId="0" applyBorder="1" applyFont="1"/>
    <xf borderId="13" fillId="0" fontId="2" numFmtId="2" xfId="0" applyAlignment="1" applyBorder="1" applyFont="1" applyNumberFormat="1">
      <alignment horizontal="center" vertical="center"/>
    </xf>
    <xf borderId="1" fillId="0" fontId="2" numFmtId="2" xfId="0" applyAlignment="1" applyBorder="1" applyFont="1" applyNumberFormat="1">
      <alignment horizontal="center" vertical="center"/>
    </xf>
    <xf borderId="2" fillId="0" fontId="2" numFmtId="2" xfId="0" applyAlignment="1" applyBorder="1" applyFont="1" applyNumberFormat="1">
      <alignment horizontal="center" vertical="center"/>
    </xf>
    <xf borderId="1" fillId="0" fontId="2" numFmtId="2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/>
    </xf>
    <xf borderId="15" fillId="0" fontId="2" numFmtId="2" xfId="0" applyAlignment="1" applyBorder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11" fillId="0" fontId="2" numFmtId="2" xfId="0" applyAlignment="1" applyBorder="1" applyFont="1" applyNumberFormat="1">
      <alignment horizontal="center" vertical="center"/>
    </xf>
    <xf borderId="0" fillId="0" fontId="2" numFmtId="2" xfId="0" applyAlignment="1" applyFont="1" applyNumberFormat="1">
      <alignment horizontal="center"/>
    </xf>
    <xf borderId="14" fillId="0" fontId="2" numFmtId="0" xfId="0" applyAlignment="1" applyBorder="1" applyFont="1">
      <alignment horizontal="center"/>
    </xf>
    <xf borderId="4" fillId="3" fontId="2" numFmtId="1" xfId="0" applyAlignment="1" applyBorder="1" applyFont="1" applyNumberFormat="1">
      <alignment horizontal="center" vertical="center"/>
    </xf>
    <xf borderId="9" fillId="0" fontId="2" numFmtId="2" xfId="0" applyAlignment="1" applyBorder="1" applyFont="1" applyNumberFormat="1">
      <alignment horizontal="center" vertical="center"/>
    </xf>
    <xf borderId="6" fillId="0" fontId="2" numFmtId="2" xfId="0" applyAlignment="1" applyBorder="1" applyFont="1" applyNumberFormat="1">
      <alignment horizontal="center" vertical="center"/>
    </xf>
    <xf borderId="8" fillId="0" fontId="2" numFmtId="0" xfId="0" applyAlignment="1" applyBorder="1" applyFont="1">
      <alignment horizontal="center"/>
    </xf>
    <xf borderId="15" fillId="3" fontId="2" numFmtId="0" xfId="0" applyAlignment="1" applyBorder="1" applyFont="1">
      <alignment horizontal="center" vertical="center"/>
    </xf>
    <xf borderId="14" fillId="9" fontId="2" numFmtId="0" xfId="0" applyAlignment="1" applyBorder="1" applyFont="1">
      <alignment horizontal="center"/>
    </xf>
    <xf borderId="3" fillId="3" fontId="2" numFmtId="164" xfId="0" applyAlignment="1" applyBorder="1" applyFont="1" applyNumberFormat="1">
      <alignment horizontal="center" vertical="center"/>
    </xf>
    <xf borderId="13" fillId="0" fontId="2" numFmtId="2" xfId="0" applyAlignment="1" applyBorder="1" applyFont="1" applyNumberFormat="1">
      <alignment horizontal="center"/>
    </xf>
    <xf borderId="11" fillId="0" fontId="2" numFmtId="2" xfId="0" applyAlignment="1" applyBorder="1" applyFont="1" applyNumberFormat="1">
      <alignment horizontal="center"/>
    </xf>
    <xf borderId="15" fillId="0" fontId="2" numFmtId="2" xfId="0" applyAlignment="1" applyBorder="1" applyFont="1" applyNumberFormat="1">
      <alignment horizontal="center"/>
    </xf>
    <xf borderId="9" fillId="0" fontId="2" numFmtId="2" xfId="0" applyAlignment="1" applyBorder="1" applyFont="1" applyNumberFormat="1">
      <alignment horizontal="center"/>
    </xf>
    <xf borderId="6" fillId="0" fontId="2" numFmtId="2" xfId="0" applyAlignment="1" applyBorder="1" applyFont="1" applyNumberFormat="1">
      <alignment horizontal="center"/>
    </xf>
    <xf borderId="4" fillId="3" fontId="2" numFmtId="164" xfId="0" applyAlignment="1" applyBorder="1" applyFont="1" applyNumberFormat="1">
      <alignment horizontal="center" vertical="center"/>
    </xf>
    <xf borderId="15" fillId="3" fontId="2" numFmtId="164" xfId="0" applyAlignment="1" applyBorder="1" applyFont="1" applyNumberFormat="1">
      <alignment horizontal="center" vertical="center"/>
    </xf>
    <xf borderId="7" fillId="0" fontId="2" numFmtId="2" xfId="0" applyAlignment="1" applyBorder="1" applyFont="1" applyNumberFormat="1">
      <alignment horizontal="center"/>
    </xf>
    <xf borderId="4" fillId="4" fontId="2" numFmtId="2" xfId="0" applyAlignment="1" applyBorder="1" applyFont="1" applyNumberFormat="1">
      <alignment horizontal="center" vertical="center"/>
    </xf>
    <xf borderId="10" fillId="3" fontId="2" numFmtId="1" xfId="0" applyAlignment="1" applyBorder="1" applyFont="1" applyNumberFormat="1">
      <alignment horizontal="center" vertical="center"/>
    </xf>
    <xf borderId="10" fillId="10" fontId="2" numFmtId="2" xfId="0" applyAlignment="1" applyBorder="1" applyFill="1" applyFont="1" applyNumberFormat="1">
      <alignment horizontal="center"/>
    </xf>
    <xf borderId="4" fillId="10" fontId="2" numFmtId="2" xfId="0" applyAlignment="1" applyBorder="1" applyFont="1" applyNumberFormat="1">
      <alignment horizontal="center" vertical="center"/>
    </xf>
    <xf borderId="10" fillId="11" fontId="2" numFmtId="2" xfId="0" applyAlignment="1" applyBorder="1" applyFill="1" applyFont="1" applyNumberFormat="1">
      <alignment horizontal="center" vertical="center"/>
    </xf>
    <xf borderId="4" fillId="11" fontId="2" numFmtId="2" xfId="0" applyAlignment="1" applyBorder="1" applyFont="1" applyNumberFormat="1">
      <alignment horizontal="center" vertical="center"/>
    </xf>
    <xf borderId="3" fillId="12" fontId="2" numFmtId="2" xfId="0" applyAlignment="1" applyBorder="1" applyFill="1" applyFont="1" applyNumberFormat="1">
      <alignment horizontal="center"/>
    </xf>
    <xf borderId="10" fillId="12" fontId="2" numFmtId="2" xfId="0" applyAlignment="1" applyBorder="1" applyFont="1" applyNumberFormat="1">
      <alignment horizontal="center"/>
    </xf>
    <xf borderId="4" fillId="12" fontId="2" numFmtId="2" xfId="0" applyAlignment="1" applyBorder="1" applyFont="1" applyNumberFormat="1">
      <alignment horizontal="center"/>
    </xf>
    <xf borderId="8" fillId="0" fontId="2" numFmtId="2" xfId="0" applyAlignment="1" applyBorder="1" applyFont="1" applyNumberFormat="1">
      <alignment horizontal="center"/>
    </xf>
    <xf borderId="10" fillId="13" fontId="2" numFmtId="2" xfId="0" applyAlignment="1" applyBorder="1" applyFill="1" applyFont="1" applyNumberFormat="1">
      <alignment horizontal="center" vertical="center"/>
    </xf>
    <xf borderId="4" fillId="13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14" fontId="2" numFmtId="0" xfId="0" applyAlignment="1" applyFill="1" applyFont="1">
      <alignment horizontal="left"/>
    </xf>
    <xf borderId="3" fillId="0" fontId="2" numFmtId="2" xfId="0" applyAlignment="1" applyBorder="1" applyFont="1" applyNumberFormat="1">
      <alignment horizontal="center" vertical="center"/>
    </xf>
    <xf borderId="3" fillId="0" fontId="2" numFmtId="2" xfId="0" applyAlignment="1" applyBorder="1" applyFont="1" applyNumberFormat="1">
      <alignment horizontal="center"/>
    </xf>
    <xf borderId="14" fillId="0" fontId="2" numFmtId="2" xfId="0" applyAlignment="1" applyBorder="1" applyFont="1" applyNumberFormat="1">
      <alignment horizontal="center" vertical="center"/>
    </xf>
    <xf borderId="14" fillId="0" fontId="2" numFmtId="2" xfId="0" applyAlignment="1" applyBorder="1" applyFont="1" applyNumberFormat="1">
      <alignment horizontal="center"/>
    </xf>
    <xf borderId="8" fillId="0" fontId="2" numFmtId="2" xfId="0" applyAlignment="1" applyBorder="1" applyFont="1" applyNumberFormat="1">
      <alignment horizontal="center" vertical="center"/>
    </xf>
    <xf borderId="0" fillId="0" fontId="2" numFmtId="0" xfId="0" applyFont="1"/>
    <xf borderId="0" fillId="14" fontId="2" numFmtId="0" xfId="0" applyFont="1"/>
    <xf borderId="4" fillId="15" fontId="2" numFmtId="0" xfId="0" applyAlignment="1" applyBorder="1" applyFill="1" applyFont="1">
      <alignment horizontal="center"/>
    </xf>
    <xf borderId="10" fillId="15" fontId="2" numFmtId="0" xfId="0" applyAlignment="1" applyBorder="1" applyFont="1">
      <alignment horizontal="center"/>
    </xf>
    <xf borderId="4" fillId="16" fontId="2" numFmtId="0" xfId="0" applyAlignment="1" applyBorder="1" applyFill="1" applyFont="1">
      <alignment horizontal="center"/>
    </xf>
    <xf borderId="10" fillId="16" fontId="2" numFmtId="0" xfId="0" applyAlignment="1" applyBorder="1" applyFont="1">
      <alignment horizontal="center"/>
    </xf>
    <xf borderId="4" fillId="17" fontId="2" numFmtId="0" xfId="0" applyAlignment="1" applyBorder="1" applyFill="1" applyFont="1">
      <alignment horizontal="center"/>
    </xf>
    <xf borderId="10" fillId="17" fontId="2" numFmtId="0" xfId="0" applyAlignment="1" applyBorder="1" applyFont="1">
      <alignment horizontal="center"/>
    </xf>
    <xf borderId="4" fillId="18" fontId="2" numFmtId="0" xfId="0" applyAlignment="1" applyBorder="1" applyFill="1" applyFont="1">
      <alignment horizontal="center"/>
    </xf>
    <xf borderId="10" fillId="18" fontId="2" numFmtId="0" xfId="0" applyAlignment="1" applyBorder="1" applyFont="1">
      <alignment horizontal="center"/>
    </xf>
    <xf borderId="4" fillId="0" fontId="2" numFmtId="2" xfId="0" applyAlignment="1" applyBorder="1" applyFont="1" applyNumberFormat="1">
      <alignment horizontal="center"/>
    </xf>
    <xf borderId="4" fillId="19" fontId="2" numFmtId="0" xfId="0" applyAlignment="1" applyBorder="1" applyFill="1" applyFont="1">
      <alignment horizontal="center"/>
    </xf>
    <xf borderId="10" fillId="19" fontId="2" numFmtId="0" xfId="0" applyAlignment="1" applyBorder="1" applyFont="1">
      <alignment horizontal="center"/>
    </xf>
    <xf borderId="4" fillId="0" fontId="2" numFmtId="2" xfId="0" applyAlignment="1" applyBorder="1" applyFont="1" applyNumberFormat="1">
      <alignment horizontal="center" vertical="center"/>
    </xf>
    <xf borderId="15" fillId="0" fontId="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pH AI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'Gráficos'!$B$4:$B$8</c:f>
            </c:strRef>
          </c:cat>
          <c:val>
            <c:numRef>
              <c:f>'Gráficos'!$C$4:$C$8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'Gráficos'!$B$4:$B$8</c:f>
            </c:strRef>
          </c:cat>
          <c:val>
            <c:numRef>
              <c:f>'Gráficos'!$D$4:$D$8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'Gráficos'!$B$4:$B$8</c:f>
            </c:strRef>
          </c:cat>
          <c:val>
            <c:numRef>
              <c:f>'Gráficos'!$E$4:$E$8</c:f>
              <c:numCache/>
            </c:numRef>
          </c:val>
        </c:ser>
        <c:axId val="856300435"/>
        <c:axId val="1951202637"/>
      </c:barChart>
      <c:catAx>
        <c:axId val="856300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51202637"/>
      </c:catAx>
      <c:valAx>
        <c:axId val="195120263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630043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Turbidez Candida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'Gráficos'!$B$12:$B$16</c:f>
            </c:strRef>
          </c:cat>
          <c:val>
            <c:numRef>
              <c:f>'Gráficos'!$C$12:$C$16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'Gráficos'!$B$12:$B$16</c:f>
            </c:strRef>
          </c:cat>
          <c:val>
            <c:numRef>
              <c:f>'Gráficos'!$D$12:$D$16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'Gráficos'!$B$12:$B$16</c:f>
            </c:strRef>
          </c:cat>
          <c:val>
            <c:numRef>
              <c:f>'Gráficos'!$E$12:$E$16</c:f>
              <c:numCache/>
            </c:numRef>
          </c:val>
        </c:ser>
        <c:axId val="1994545563"/>
        <c:axId val="356353588"/>
      </c:barChart>
      <c:catAx>
        <c:axId val="19945455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56353588"/>
      </c:catAx>
      <c:valAx>
        <c:axId val="35635358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454556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CONDUTIVIDADE (mS/cm)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'Gráficos'!$B$20:$B$24</c:f>
            </c:strRef>
          </c:cat>
          <c:val>
            <c:numRef>
              <c:f>'Gráficos'!$C$20:$C$24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'Gráficos'!$B$20:$B$24</c:f>
            </c:strRef>
          </c:cat>
          <c:val>
            <c:numRef>
              <c:f>'Gráficos'!$D$20:$D$24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'Gráficos'!$B$20:$B$24</c:f>
            </c:strRef>
          </c:cat>
          <c:val>
            <c:numRef>
              <c:f>'Gráficos'!$E$20:$E$24</c:f>
              <c:numCache/>
            </c:numRef>
          </c:val>
        </c:ser>
        <c:axId val="1243732085"/>
        <c:axId val="297804720"/>
      </c:barChart>
      <c:catAx>
        <c:axId val="12437320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97804720"/>
      </c:catAx>
      <c:valAx>
        <c:axId val="2978047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373208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COR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Dia 0</c:v>
          </c:tx>
          <c:spPr>
            <a:solidFill>
              <a:srgbClr val="FFD966"/>
            </a:solidFill>
            <a:ln cmpd="sng">
              <a:solidFill>
                <a:srgbClr val="000000"/>
              </a:solidFill>
            </a:ln>
          </c:spPr>
          <c:cat>
            <c:strRef>
              <c:f>'Gráficos'!$B$28:$B$32</c:f>
            </c:strRef>
          </c:cat>
          <c:val>
            <c:numRef>
              <c:f>'Gráficos'!$C$28:$C$32</c:f>
              <c:numCache/>
            </c:numRef>
          </c:val>
        </c:ser>
        <c:ser>
          <c:idx val="1"/>
          <c:order val="1"/>
          <c:tx>
            <c:v>Dia 7</c:v>
          </c:tx>
          <c:spPr>
            <a:solidFill>
              <a:srgbClr val="BF9000"/>
            </a:solidFill>
            <a:ln cmpd="sng">
              <a:solidFill>
                <a:srgbClr val="000000"/>
              </a:solidFill>
            </a:ln>
          </c:spPr>
          <c:cat>
            <c:strRef>
              <c:f>'Gráficos'!$B$28:$B$32</c:f>
            </c:strRef>
          </c:cat>
          <c:val>
            <c:numRef>
              <c:f>'Gráficos'!$D$28:$D$32</c:f>
              <c:numCache/>
            </c:numRef>
          </c:val>
        </c:ser>
        <c:ser>
          <c:idx val="2"/>
          <c:order val="2"/>
          <c:tx>
            <c:v>Dia 14</c:v>
          </c:tx>
          <c:spPr>
            <a:solidFill>
              <a:srgbClr val="7F6000"/>
            </a:solidFill>
            <a:ln cmpd="sng">
              <a:solidFill>
                <a:srgbClr val="000000"/>
              </a:solidFill>
            </a:ln>
          </c:spPr>
          <c:cat>
            <c:strRef>
              <c:f>'Gráficos'!$B$28:$B$32</c:f>
            </c:strRef>
          </c:cat>
          <c:val>
            <c:numRef>
              <c:f>'Gráficos'!$E$28:$E$32</c:f>
              <c:numCache/>
            </c:numRef>
          </c:val>
        </c:ser>
        <c:axId val="1755910782"/>
        <c:axId val="1198708310"/>
      </c:barChart>
      <c:catAx>
        <c:axId val="17559107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98708310"/>
      </c:catAx>
      <c:valAx>
        <c:axId val="11987083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5591078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DQO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'Gráficos'!$B$36:$B$40</c:f>
            </c:strRef>
          </c:cat>
          <c:val>
            <c:numRef>
              <c:f>'Gráficos'!$C$36:$C$40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'Gráficos'!$B$36:$B$40</c:f>
            </c:strRef>
          </c:cat>
          <c:val>
            <c:numRef>
              <c:f>'Gráficos'!$D$36:$D$40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'Gráficos'!$B$36:$B$40</c:f>
            </c:strRef>
          </c:cat>
          <c:val>
            <c:numRef>
              <c:f>'Gráficos'!$E$36:$E$40</c:f>
              <c:numCache/>
            </c:numRef>
          </c:val>
        </c:ser>
        <c:axId val="1853886548"/>
        <c:axId val="1664973135"/>
      </c:barChart>
      <c:catAx>
        <c:axId val="18538865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64973135"/>
      </c:catAx>
      <c:valAx>
        <c:axId val="16649731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388654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'Gráficos'!$C$53:$C$54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'Gráficos'!$B$55:$B$59</c:f>
            </c:strRef>
          </c:cat>
          <c:val>
            <c:numRef>
              <c:f>'Gráficos'!$C$55:$C$59</c:f>
              <c:numCache/>
            </c:numRef>
          </c:val>
        </c:ser>
        <c:ser>
          <c:idx val="1"/>
          <c:order val="1"/>
          <c:tx>
            <c:strRef>
              <c:f>'Gráficos'!$D$53:$D$54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'Gráficos'!$B$55:$B$59</c:f>
            </c:strRef>
          </c:cat>
          <c:val>
            <c:numRef>
              <c:f>'Gráficos'!$D$55:$D$59</c:f>
              <c:numCache/>
            </c:numRef>
          </c:val>
        </c:ser>
        <c:ser>
          <c:idx val="2"/>
          <c:order val="2"/>
          <c:tx>
            <c:strRef>
              <c:f>'Gráficos'!$E$53:$E$54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'Gráficos'!$B$55:$B$59</c:f>
            </c:strRef>
          </c:cat>
          <c:val>
            <c:numRef>
              <c:f>'Gráficos'!$E$55:$E$59</c:f>
              <c:numCache/>
            </c:numRef>
          </c:val>
        </c:ser>
        <c:ser>
          <c:idx val="3"/>
          <c:order val="3"/>
          <c:tx>
            <c:strRef>
              <c:f>'Gráficos'!$F$53:$F$54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'Gráficos'!$B$55:$B$59</c:f>
            </c:strRef>
          </c:cat>
          <c:val>
            <c:numRef>
              <c:f>'Gráficos'!$F$55:$F$59</c:f>
              <c:numCache/>
            </c:numRef>
          </c:val>
        </c:ser>
        <c:axId val="1898474993"/>
        <c:axId val="1577910982"/>
      </c:barChart>
      <c:catAx>
        <c:axId val="1898474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577910982"/>
      </c:catAx>
      <c:valAx>
        <c:axId val="157791098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847499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'Gráficos'!$K$53:$K$54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'Gráficos'!$J$55:$J$59</c:f>
            </c:strRef>
          </c:cat>
          <c:val>
            <c:numRef>
              <c:f>'Gráficos'!$K$55:$K$59</c:f>
              <c:numCache/>
            </c:numRef>
          </c:val>
        </c:ser>
        <c:ser>
          <c:idx val="1"/>
          <c:order val="1"/>
          <c:tx>
            <c:strRef>
              <c:f>'Gráficos'!$L$53:$L$54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'Gráficos'!$J$55:$J$59</c:f>
            </c:strRef>
          </c:cat>
          <c:val>
            <c:numRef>
              <c:f>'Gráficos'!$L$55:$L$59</c:f>
              <c:numCache/>
            </c:numRef>
          </c:val>
        </c:ser>
        <c:ser>
          <c:idx val="2"/>
          <c:order val="2"/>
          <c:tx>
            <c:strRef>
              <c:f>'Gráficos'!$M$53:$M$54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'Gráficos'!$J$55:$J$59</c:f>
            </c:strRef>
          </c:cat>
          <c:val>
            <c:numRef>
              <c:f>'Gráficos'!$M$55:$M$59</c:f>
              <c:numCache/>
            </c:numRef>
          </c:val>
        </c:ser>
        <c:ser>
          <c:idx val="3"/>
          <c:order val="3"/>
          <c:tx>
            <c:strRef>
              <c:f>'Gráficos'!$N$53:$N$54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'Gráficos'!$J$55:$J$59</c:f>
            </c:strRef>
          </c:cat>
          <c:val>
            <c:numRef>
              <c:f>'Gráficos'!$N$55:$N$59</c:f>
              <c:numCache/>
            </c:numRef>
          </c:val>
        </c:ser>
        <c:axId val="1138225663"/>
        <c:axId val="1710435725"/>
      </c:barChart>
      <c:catAx>
        <c:axId val="1138225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10435725"/>
      </c:catAx>
      <c:valAx>
        <c:axId val="171043572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822566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Turbidez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'Gráficos'!$K$61:$K$62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'Gráficos'!$J$63:$J$67</c:f>
            </c:strRef>
          </c:cat>
          <c:val>
            <c:numRef>
              <c:f>'Gráficos'!$K$63:$K$67</c:f>
              <c:numCache/>
            </c:numRef>
          </c:val>
        </c:ser>
        <c:ser>
          <c:idx val="1"/>
          <c:order val="1"/>
          <c:tx>
            <c:strRef>
              <c:f>'Gráficos'!$L$61:$L$62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'Gráficos'!$J$63:$J$67</c:f>
            </c:strRef>
          </c:cat>
          <c:val>
            <c:numRef>
              <c:f>'Gráficos'!$L$63:$L$67</c:f>
              <c:numCache/>
            </c:numRef>
          </c:val>
        </c:ser>
        <c:ser>
          <c:idx val="2"/>
          <c:order val="2"/>
          <c:tx>
            <c:strRef>
              <c:f>'Gráficos'!$M$61:$M$62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'Gráficos'!$J$63:$J$67</c:f>
            </c:strRef>
          </c:cat>
          <c:val>
            <c:numRef>
              <c:f>'Gráficos'!$M$63:$M$67</c:f>
              <c:numCache/>
            </c:numRef>
          </c:val>
        </c:ser>
        <c:ser>
          <c:idx val="3"/>
          <c:order val="3"/>
          <c:tx>
            <c:strRef>
              <c:f>'Gráficos'!$N$61:$N$62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'Gráficos'!$J$63:$J$67</c:f>
            </c:strRef>
          </c:cat>
          <c:val>
            <c:numRef>
              <c:f>'Gráficos'!$N$63:$N$67</c:f>
              <c:numCache/>
            </c:numRef>
          </c:val>
        </c:ser>
        <c:axId val="1610539095"/>
        <c:axId val="2144053360"/>
      </c:barChart>
      <c:catAx>
        <c:axId val="1610539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144053360"/>
      </c:catAx>
      <c:valAx>
        <c:axId val="21440533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053909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Condutividade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'Gráficos'!$K$69:$K$70</c:f>
            </c:strRef>
          </c:tx>
          <c:cat>
            <c:strRef>
              <c:f>'Gráficos'!$J$71:$J$75</c:f>
            </c:strRef>
          </c:cat>
          <c:val>
            <c:numRef>
              <c:f>'Gráficos'!$K$71:$K$75</c:f>
              <c:numCache/>
            </c:numRef>
          </c:val>
        </c:ser>
        <c:ser>
          <c:idx val="1"/>
          <c:order val="1"/>
          <c:tx>
            <c:strRef>
              <c:f>'Gráficos'!$L$69:$L$70</c:f>
            </c:strRef>
          </c:tx>
          <c:cat>
            <c:strRef>
              <c:f>'Gráficos'!$J$71:$J$75</c:f>
            </c:strRef>
          </c:cat>
          <c:val>
            <c:numRef>
              <c:f>'Gráficos'!$L$71:$L$75</c:f>
              <c:numCache/>
            </c:numRef>
          </c:val>
        </c:ser>
        <c:ser>
          <c:idx val="2"/>
          <c:order val="2"/>
          <c:tx>
            <c:strRef>
              <c:f>'Gráficos'!$M$69:$M$70</c:f>
            </c:strRef>
          </c:tx>
          <c:cat>
            <c:strRef>
              <c:f>'Gráficos'!$J$71:$J$75</c:f>
            </c:strRef>
          </c:cat>
          <c:val>
            <c:numRef>
              <c:f>'Gráficos'!$M$71:$M$75</c:f>
              <c:numCache/>
            </c:numRef>
          </c:val>
        </c:ser>
        <c:ser>
          <c:idx val="3"/>
          <c:order val="3"/>
          <c:tx>
            <c:strRef>
              <c:f>'Gráficos'!$N$69:$N$70</c:f>
            </c:strRef>
          </c:tx>
          <c:cat>
            <c:strRef>
              <c:f>'Gráficos'!$J$71:$J$75</c:f>
            </c:strRef>
          </c:cat>
          <c:val>
            <c:numRef>
              <c:f>'Gráficos'!$N$71:$N$75</c:f>
              <c:numCache/>
            </c:numRef>
          </c:val>
        </c:ser>
        <c:axId val="286107079"/>
        <c:axId val="783164745"/>
      </c:barChart>
      <c:catAx>
        <c:axId val="286107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83164745"/>
      </c:catAx>
      <c:valAx>
        <c:axId val="78316474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8610707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'Gráficos'!$K$77:$K$78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'Gráficos'!$J$79:$J$83</c:f>
            </c:strRef>
          </c:cat>
          <c:val>
            <c:numRef>
              <c:f>'Gráficos'!$K$79:$K$83</c:f>
              <c:numCache/>
            </c:numRef>
          </c:val>
        </c:ser>
        <c:ser>
          <c:idx val="1"/>
          <c:order val="1"/>
          <c:tx>
            <c:strRef>
              <c:f>'Gráficos'!$L$77:$L$78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'Gráficos'!$J$79:$J$83</c:f>
            </c:strRef>
          </c:cat>
          <c:val>
            <c:numRef>
              <c:f>'Gráficos'!$L$79:$L$83</c:f>
              <c:numCache/>
            </c:numRef>
          </c:val>
        </c:ser>
        <c:ser>
          <c:idx val="2"/>
          <c:order val="2"/>
          <c:tx>
            <c:strRef>
              <c:f>'Gráficos'!$M$77:$M$78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'Gráficos'!$J$79:$J$83</c:f>
            </c:strRef>
          </c:cat>
          <c:val>
            <c:numRef>
              <c:f>'Gráficos'!$M$79:$M$83</c:f>
              <c:numCache/>
            </c:numRef>
          </c:val>
        </c:ser>
        <c:ser>
          <c:idx val="3"/>
          <c:order val="3"/>
          <c:tx>
            <c:strRef>
              <c:f>'Gráficos'!$N$77:$N$78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'Gráficos'!$J$79:$J$83</c:f>
            </c:strRef>
          </c:cat>
          <c:val>
            <c:numRef>
              <c:f>'Gráficos'!$N$79:$N$83</c:f>
              <c:numCache/>
            </c:numRef>
          </c:val>
        </c:ser>
        <c:axId val="1663341439"/>
        <c:axId val="834035559"/>
      </c:barChart>
      <c:catAx>
        <c:axId val="1663341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34035559"/>
      </c:catAx>
      <c:valAx>
        <c:axId val="8340355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6334143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'Gráficos'!$K$85:$K$86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'Gráficos'!$J$87:$J$91</c:f>
            </c:strRef>
          </c:cat>
          <c:val>
            <c:numRef>
              <c:f>'Gráficos'!$K$87:$K$91</c:f>
              <c:numCache/>
            </c:numRef>
          </c:val>
        </c:ser>
        <c:ser>
          <c:idx val="1"/>
          <c:order val="1"/>
          <c:tx>
            <c:strRef>
              <c:f>'Gráficos'!$L$85:$L$86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'Gráficos'!$J$87:$J$91</c:f>
            </c:strRef>
          </c:cat>
          <c:val>
            <c:numRef>
              <c:f>'Gráficos'!$L$87:$L$91</c:f>
              <c:numCache/>
            </c:numRef>
          </c:val>
        </c:ser>
        <c:ser>
          <c:idx val="2"/>
          <c:order val="2"/>
          <c:tx>
            <c:strRef>
              <c:f>'Gráficos'!$M$85:$M$86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'Gráficos'!$J$87:$J$91</c:f>
            </c:strRef>
          </c:cat>
          <c:val>
            <c:numRef>
              <c:f>'Gráficos'!$M$87:$M$91</c:f>
              <c:numCache/>
            </c:numRef>
          </c:val>
        </c:ser>
        <c:ser>
          <c:idx val="3"/>
          <c:order val="3"/>
          <c:tx>
            <c:strRef>
              <c:f>'Gráficos'!$N$85:$N$86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'Gráficos'!$J$87:$J$91</c:f>
            </c:strRef>
          </c:cat>
          <c:val>
            <c:numRef>
              <c:f>'Gráficos'!$N$87:$N$91</c:f>
              <c:numCache/>
            </c:numRef>
          </c:val>
        </c:ser>
        <c:axId val="593947639"/>
        <c:axId val="794078816"/>
      </c:barChart>
      <c:catAx>
        <c:axId val="593947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94078816"/>
      </c:catAx>
      <c:valAx>
        <c:axId val="7940788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394763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Turbidez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'Gráficos'!$C$61:$C$62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'Gráficos'!$B$63:$B$67</c:f>
            </c:strRef>
          </c:cat>
          <c:val>
            <c:numRef>
              <c:f>'Gráficos'!$C$63:$C$67</c:f>
              <c:numCache/>
            </c:numRef>
          </c:val>
        </c:ser>
        <c:ser>
          <c:idx val="1"/>
          <c:order val="1"/>
          <c:tx>
            <c:strRef>
              <c:f>'Gráficos'!$D$61:$D$62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'Gráficos'!$B$63:$B$67</c:f>
            </c:strRef>
          </c:cat>
          <c:val>
            <c:numRef>
              <c:f>'Gráficos'!$D$63:$D$67</c:f>
              <c:numCache/>
            </c:numRef>
          </c:val>
        </c:ser>
        <c:ser>
          <c:idx val="2"/>
          <c:order val="2"/>
          <c:tx>
            <c:strRef>
              <c:f>'Gráficos'!$E$61:$E$62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'Gráficos'!$B$63:$B$67</c:f>
            </c:strRef>
          </c:cat>
          <c:val>
            <c:numRef>
              <c:f>'Gráficos'!$E$63:$E$67</c:f>
              <c:numCache/>
            </c:numRef>
          </c:val>
        </c:ser>
        <c:ser>
          <c:idx val="3"/>
          <c:order val="3"/>
          <c:tx>
            <c:strRef>
              <c:f>'Gráficos'!$F$61:$F$62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'Gráficos'!$B$63:$B$67</c:f>
            </c:strRef>
          </c:cat>
          <c:val>
            <c:numRef>
              <c:f>'Gráficos'!$F$63:$F$67</c:f>
              <c:numCache/>
            </c:numRef>
          </c:val>
        </c:ser>
        <c:axId val="1820216807"/>
        <c:axId val="752829182"/>
      </c:barChart>
      <c:catAx>
        <c:axId val="1820216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52829182"/>
      </c:catAx>
      <c:valAx>
        <c:axId val="75282918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21680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Condutividade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'Gráficos'!$C$69:$C$70</c:f>
            </c:strRef>
          </c:tx>
          <c:cat>
            <c:strRef>
              <c:f>'Gráficos'!$B$71:$B$75</c:f>
            </c:strRef>
          </c:cat>
          <c:val>
            <c:numRef>
              <c:f>'Gráficos'!$C$71:$C$75</c:f>
              <c:numCache/>
            </c:numRef>
          </c:val>
        </c:ser>
        <c:ser>
          <c:idx val="1"/>
          <c:order val="1"/>
          <c:tx>
            <c:strRef>
              <c:f>'Gráficos'!$D$69:$D$70</c:f>
            </c:strRef>
          </c:tx>
          <c:cat>
            <c:strRef>
              <c:f>'Gráficos'!$B$71:$B$75</c:f>
            </c:strRef>
          </c:cat>
          <c:val>
            <c:numRef>
              <c:f>'Gráficos'!$D$71:$D$75</c:f>
              <c:numCache/>
            </c:numRef>
          </c:val>
        </c:ser>
        <c:ser>
          <c:idx val="2"/>
          <c:order val="2"/>
          <c:tx>
            <c:strRef>
              <c:f>'Gráficos'!$E$69:$E$70</c:f>
            </c:strRef>
          </c:tx>
          <c:cat>
            <c:strRef>
              <c:f>'Gráficos'!$B$71:$B$75</c:f>
            </c:strRef>
          </c:cat>
          <c:val>
            <c:numRef>
              <c:f>'Gráficos'!$E$71:$E$75</c:f>
              <c:numCache/>
            </c:numRef>
          </c:val>
        </c:ser>
        <c:ser>
          <c:idx val="3"/>
          <c:order val="3"/>
          <c:tx>
            <c:strRef>
              <c:f>'Gráficos'!$F$69:$F$70</c:f>
            </c:strRef>
          </c:tx>
          <c:cat>
            <c:strRef>
              <c:f>'Gráficos'!$B$71:$B$75</c:f>
            </c:strRef>
          </c:cat>
          <c:val>
            <c:numRef>
              <c:f>'Gráficos'!$F$71:$F$75</c:f>
              <c:numCache/>
            </c:numRef>
          </c:val>
        </c:ser>
        <c:axId val="633788792"/>
        <c:axId val="1387537187"/>
      </c:barChart>
      <c:catAx>
        <c:axId val="633788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387537187"/>
      </c:catAx>
      <c:valAx>
        <c:axId val="138753718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63378879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'Gráficos'!$C$77:$C$78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'Gráficos'!$B$79:$B$83</c:f>
            </c:strRef>
          </c:cat>
          <c:val>
            <c:numRef>
              <c:f>'Gráficos'!$C$79:$C$83</c:f>
              <c:numCache/>
            </c:numRef>
          </c:val>
        </c:ser>
        <c:ser>
          <c:idx val="1"/>
          <c:order val="1"/>
          <c:tx>
            <c:strRef>
              <c:f>'Gráficos'!$D$77:$D$78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'Gráficos'!$B$79:$B$83</c:f>
            </c:strRef>
          </c:cat>
          <c:val>
            <c:numRef>
              <c:f>'Gráficos'!$D$79:$D$83</c:f>
              <c:numCache/>
            </c:numRef>
          </c:val>
        </c:ser>
        <c:ser>
          <c:idx val="2"/>
          <c:order val="2"/>
          <c:tx>
            <c:strRef>
              <c:f>'Gráficos'!$E$77:$E$78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'Gráficos'!$B$79:$B$83</c:f>
            </c:strRef>
          </c:cat>
          <c:val>
            <c:numRef>
              <c:f>'Gráficos'!$E$79:$E$83</c:f>
              <c:numCache/>
            </c:numRef>
          </c:val>
        </c:ser>
        <c:ser>
          <c:idx val="3"/>
          <c:order val="3"/>
          <c:tx>
            <c:strRef>
              <c:f>'Gráficos'!$F$77:$F$78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'Gráficos'!$B$79:$B$83</c:f>
            </c:strRef>
          </c:cat>
          <c:val>
            <c:numRef>
              <c:f>'Gráficos'!$F$79:$F$83</c:f>
              <c:numCache/>
            </c:numRef>
          </c:val>
        </c:ser>
        <c:axId val="231154555"/>
        <c:axId val="1676765613"/>
      </c:barChart>
      <c:catAx>
        <c:axId val="2311545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76765613"/>
      </c:catAx>
      <c:valAx>
        <c:axId val="16767656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3115455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'Gráficos'!$C$85:$C$86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'Gráficos'!$B$87:$B$91</c:f>
            </c:strRef>
          </c:cat>
          <c:val>
            <c:numRef>
              <c:f>'Gráficos'!$C$87:$C$91</c:f>
              <c:numCache/>
            </c:numRef>
          </c:val>
        </c:ser>
        <c:ser>
          <c:idx val="1"/>
          <c:order val="1"/>
          <c:tx>
            <c:strRef>
              <c:f>'Gráficos'!$D$85:$D$86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'Gráficos'!$B$87:$B$91</c:f>
            </c:strRef>
          </c:cat>
          <c:val>
            <c:numRef>
              <c:f>'Gráficos'!$D$87:$D$91</c:f>
              <c:numCache/>
            </c:numRef>
          </c:val>
        </c:ser>
        <c:ser>
          <c:idx val="2"/>
          <c:order val="2"/>
          <c:tx>
            <c:strRef>
              <c:f>'Gráficos'!$E$85:$E$86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'Gráficos'!$B$87:$B$91</c:f>
            </c:strRef>
          </c:cat>
          <c:val>
            <c:numRef>
              <c:f>'Gráficos'!$E$87:$E$91</c:f>
              <c:numCache/>
            </c:numRef>
          </c:val>
        </c:ser>
        <c:ser>
          <c:idx val="3"/>
          <c:order val="3"/>
          <c:tx>
            <c:strRef>
              <c:f>'Gráficos'!$F$85:$F$86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'Gráficos'!$B$87:$B$91</c:f>
            </c:strRef>
          </c:cat>
          <c:val>
            <c:numRef>
              <c:f>'Gráficos'!$F$87:$F$91</c:f>
              <c:numCache/>
            </c:numRef>
          </c:val>
        </c:ser>
        <c:axId val="1709850585"/>
        <c:axId val="1812954604"/>
      </c:barChart>
      <c:catAx>
        <c:axId val="1709850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DQO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12954604"/>
      </c:catAx>
      <c:valAx>
        <c:axId val="18129546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985058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Degradação de DQO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'Gráficos'!$C$44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'Gráficos'!$B$45:$B$49</c:f>
            </c:strRef>
          </c:cat>
          <c:val>
            <c:numRef>
              <c:f>'Gráficos'!$C$45:$C$49</c:f>
              <c:numCache/>
            </c:numRef>
          </c:val>
        </c:ser>
        <c:ser>
          <c:idx val="1"/>
          <c:order val="1"/>
          <c:tx>
            <c:strRef>
              <c:f>'Gráficos'!$D$44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'Gráficos'!$B$45:$B$49</c:f>
            </c:strRef>
          </c:cat>
          <c:val>
            <c:numRef>
              <c:f>'Gráficos'!$D$45:$D$49</c:f>
              <c:numCache/>
            </c:numRef>
          </c:val>
        </c:ser>
        <c:ser>
          <c:idx val="2"/>
          <c:order val="2"/>
          <c:tx>
            <c:strRef>
              <c:f>'Gráficos'!$E$44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'Gráficos'!$B$45:$B$49</c:f>
            </c:strRef>
          </c:cat>
          <c:val>
            <c:numRef>
              <c:f>'Gráficos'!$E$45:$E$49</c:f>
              <c:numCache/>
            </c:numRef>
          </c:val>
        </c:ser>
        <c:ser>
          <c:idx val="3"/>
          <c:order val="3"/>
          <c:tx>
            <c:strRef>
              <c:f>'Gráficos'!$F$44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'Gráficos'!$B$45:$B$49</c:f>
            </c:strRef>
          </c:cat>
          <c:val>
            <c:numRef>
              <c:f>'Gráficos'!$F$45:$F$49</c:f>
              <c:numCache/>
            </c:numRef>
          </c:val>
        </c:ser>
        <c:axId val="1954523494"/>
        <c:axId val="1888385224"/>
      </c:barChart>
      <c:catAx>
        <c:axId val="1954523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88385224"/>
      </c:catAx>
      <c:valAx>
        <c:axId val="18883852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452349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'Gráficos'!$I$4:$I$8</c:f>
            </c:strRef>
          </c:cat>
          <c:val>
            <c:numRef>
              <c:f>'Gráficos'!$J$4:$J$8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'Gráficos'!$I$4:$I$8</c:f>
            </c:strRef>
          </c:cat>
          <c:val>
            <c:numRef>
              <c:f>'Gráficos'!$K$2:$K$8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'Gráficos'!$I$4:$I$8</c:f>
            </c:strRef>
          </c:cat>
          <c:val>
            <c:numRef>
              <c:f>'Gráficos'!$L$2:$L$8</c:f>
              <c:numCache/>
            </c:numRef>
          </c:val>
        </c:ser>
        <c:axId val="533716086"/>
        <c:axId val="2006768775"/>
      </c:barChart>
      <c:catAx>
        <c:axId val="5337160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006768775"/>
      </c:catAx>
      <c:valAx>
        <c:axId val="2006768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3716086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TURBIDEZ (NTU)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'Gráficos'!$I$12:$I$16</c:f>
            </c:strRef>
          </c:cat>
          <c:val>
            <c:numRef>
              <c:f>'Gráficos'!$J$12:$J$16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'Gráficos'!$I$12:$I$16</c:f>
            </c:strRef>
          </c:cat>
          <c:val>
            <c:numRef>
              <c:f>'Gráficos'!$K$10:$K$16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'Gráficos'!$I$12:$I$16</c:f>
            </c:strRef>
          </c:cat>
          <c:val>
            <c:numRef>
              <c:f>'Gráficos'!$L$10:$L$16</c:f>
              <c:numCache/>
            </c:numRef>
          </c:val>
        </c:ser>
        <c:axId val="2048627317"/>
        <c:axId val="334976394"/>
      </c:barChart>
      <c:catAx>
        <c:axId val="20486273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34976394"/>
      </c:catAx>
      <c:valAx>
        <c:axId val="334976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862731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COR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Dia 0</c:v>
          </c:tx>
          <c:spPr>
            <a:solidFill>
              <a:srgbClr val="FFD966"/>
            </a:solidFill>
            <a:ln cmpd="sng">
              <a:solidFill>
                <a:srgbClr val="000000"/>
              </a:solidFill>
            </a:ln>
          </c:spPr>
          <c:cat>
            <c:strRef>
              <c:f>'Gráficos'!$I$28:$I$32</c:f>
            </c:strRef>
          </c:cat>
          <c:val>
            <c:numRef>
              <c:f>'Gráficos'!$J$28:$J$32</c:f>
              <c:numCache/>
            </c:numRef>
          </c:val>
        </c:ser>
        <c:ser>
          <c:idx val="1"/>
          <c:order val="1"/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cat>
            <c:strRef>
              <c:f>'Gráficos'!$I$28:$I$32</c:f>
            </c:strRef>
          </c:cat>
          <c:val>
            <c:numRef>
              <c:f>'Gráficos'!$K$26:$K$32</c:f>
              <c:numCache/>
            </c:numRef>
          </c:val>
        </c:ser>
        <c:ser>
          <c:idx val="2"/>
          <c:order val="2"/>
          <c:spPr>
            <a:solidFill>
              <a:srgbClr val="BF9000"/>
            </a:solidFill>
            <a:ln cmpd="sng">
              <a:solidFill>
                <a:srgbClr val="000000"/>
              </a:solidFill>
            </a:ln>
          </c:spPr>
          <c:cat>
            <c:strRef>
              <c:f>'Gráficos'!$I$28:$I$32</c:f>
            </c:strRef>
          </c:cat>
          <c:val>
            <c:numRef>
              <c:f>'Gráficos'!$L$26:$L$32</c:f>
              <c:numCache/>
            </c:numRef>
          </c:val>
        </c:ser>
        <c:axId val="1555768074"/>
        <c:axId val="1625289663"/>
      </c:barChart>
      <c:catAx>
        <c:axId val="1555768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25289663"/>
      </c:catAx>
      <c:valAx>
        <c:axId val="1625289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55576807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'Gráficos'!$Q$4:$Q$8</c:f>
            </c:strRef>
          </c:cat>
          <c:val>
            <c:numRef>
              <c:f>'Gráficos'!$R$4:$R$8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'Gráficos'!$Q$4:$Q$8</c:f>
            </c:strRef>
          </c:cat>
          <c:val>
            <c:numRef>
              <c:f>'Gráficos'!$S$2:$S$8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'Gráficos'!$Q$4:$Q$8</c:f>
            </c:strRef>
          </c:cat>
          <c:val>
            <c:numRef>
              <c:f>'Gráficos'!$T$2:$T$8</c:f>
              <c:numCache/>
            </c:numRef>
          </c:val>
        </c:ser>
        <c:axId val="834407780"/>
        <c:axId val="1985453869"/>
      </c:barChart>
      <c:catAx>
        <c:axId val="834407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85453869"/>
      </c:catAx>
      <c:valAx>
        <c:axId val="198545386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4407780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TURBIDEZ (NTU)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'Gráficos'!$Q$12:$Q$16</c:f>
            </c:strRef>
          </c:cat>
          <c:val>
            <c:numRef>
              <c:f>'Gráficos'!$R$12:$R$16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'Gráficos'!$Q$12:$Q$16</c:f>
            </c:strRef>
          </c:cat>
          <c:val>
            <c:numRef>
              <c:f>'Gráficos'!$S$10:$S$16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'Gráficos'!$Q$12:$Q$16</c:f>
            </c:strRef>
          </c:cat>
          <c:val>
            <c:numRef>
              <c:f>'Gráficos'!$T$10:$T$16</c:f>
              <c:numCache/>
            </c:numRef>
          </c:val>
        </c:ser>
        <c:axId val="1371262998"/>
        <c:axId val="1938780887"/>
      </c:barChart>
      <c:catAx>
        <c:axId val="13712629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38780887"/>
      </c:catAx>
      <c:valAx>
        <c:axId val="19387808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126299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COR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Dia 0</c:v>
          </c:tx>
          <c:spPr>
            <a:solidFill>
              <a:srgbClr val="FFE599"/>
            </a:solidFill>
            <a:ln cmpd="sng">
              <a:solidFill>
                <a:srgbClr val="000000"/>
              </a:solidFill>
            </a:ln>
          </c:spPr>
          <c:cat>
            <c:strRef>
              <c:f>'Gráficos'!$Q$28:$Q$32</c:f>
            </c:strRef>
          </c:cat>
          <c:val>
            <c:numRef>
              <c:f>'Gráficos'!$R$28:$R$32</c:f>
              <c:numCache/>
            </c:numRef>
          </c:val>
        </c:ser>
        <c:ser>
          <c:idx val="1"/>
          <c:order val="1"/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cat>
            <c:strRef>
              <c:f>'Gráficos'!$Q$28:$Q$32</c:f>
            </c:strRef>
          </c:cat>
          <c:val>
            <c:numRef>
              <c:f>'Gráficos'!$S$26:$S$32</c:f>
              <c:numCache/>
            </c:numRef>
          </c:val>
        </c:ser>
        <c:ser>
          <c:idx val="2"/>
          <c:order val="2"/>
          <c:spPr>
            <a:solidFill>
              <a:srgbClr val="BF9000"/>
            </a:solidFill>
            <a:ln cmpd="sng">
              <a:solidFill>
                <a:srgbClr val="000000"/>
              </a:solidFill>
            </a:ln>
          </c:spPr>
          <c:cat>
            <c:strRef>
              <c:f>'Gráficos'!$Q$28:$Q$32</c:f>
            </c:strRef>
          </c:cat>
          <c:val>
            <c:numRef>
              <c:f>'Gráficos'!$T$26:$T$32</c:f>
              <c:numCache/>
            </c:numRef>
          </c:val>
        </c:ser>
        <c:axId val="835941045"/>
        <c:axId val="1156721413"/>
      </c:barChart>
      <c:catAx>
        <c:axId val="835941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56721413"/>
      </c:catAx>
      <c:valAx>
        <c:axId val="11567214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3594104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'Gráficos'!$Y$4:$Y$8</c:f>
            </c:strRef>
          </c:cat>
          <c:val>
            <c:numRef>
              <c:f>'Gráficos'!$Z$4:$Z$8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'Gráficos'!$Y$4:$Y$8</c:f>
            </c:strRef>
          </c:cat>
          <c:val>
            <c:numRef>
              <c:f>'Gráficos'!$AA$2:$AA$8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'Gráficos'!$Y$4:$Y$8</c:f>
            </c:strRef>
          </c:cat>
          <c:val>
            <c:numRef>
              <c:f>'Gráficos'!$AB$2:$AB$8</c:f>
              <c:numCache/>
            </c:numRef>
          </c:val>
        </c:ser>
        <c:axId val="443563331"/>
        <c:axId val="1015851242"/>
      </c:barChart>
      <c:catAx>
        <c:axId val="443563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15851242"/>
      </c:catAx>
      <c:valAx>
        <c:axId val="10158512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3563331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TURBIDEZ (NTU)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'Gráficos'!$Y$12:$Y$16</c:f>
            </c:strRef>
          </c:cat>
          <c:val>
            <c:numRef>
              <c:f>'Gráficos'!$Z$12:$Z$16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'Gráficos'!$Y$12:$Y$16</c:f>
            </c:strRef>
          </c:cat>
          <c:val>
            <c:numRef>
              <c:f>'Gráficos'!$AA$10:$AA$16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'Gráficos'!$Y$12:$Y$16</c:f>
            </c:strRef>
          </c:cat>
          <c:val>
            <c:numRef>
              <c:f>'Gráficos'!$AB$10:$AB$16</c:f>
              <c:numCache/>
            </c:numRef>
          </c:val>
        </c:ser>
        <c:axId val="1874227234"/>
        <c:axId val="654055823"/>
      </c:barChart>
      <c:catAx>
        <c:axId val="1874227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54055823"/>
      </c:catAx>
      <c:valAx>
        <c:axId val="6540558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422723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COR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Dia 0</c:v>
          </c:tx>
          <c:spPr>
            <a:solidFill>
              <a:srgbClr val="FFE599"/>
            </a:solidFill>
            <a:ln cmpd="sng">
              <a:solidFill>
                <a:srgbClr val="000000"/>
              </a:solidFill>
            </a:ln>
          </c:spPr>
          <c:cat>
            <c:strRef>
              <c:f>'Gráficos'!$Y$28:$Y$32</c:f>
            </c:strRef>
          </c:cat>
          <c:val>
            <c:numRef>
              <c:f>'Gráficos'!$Z$28:$Z$32</c:f>
              <c:numCache/>
            </c:numRef>
          </c:val>
        </c:ser>
        <c:ser>
          <c:idx val="1"/>
          <c:order val="1"/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cat>
            <c:strRef>
              <c:f>'Gráficos'!$Y$28:$Y$32</c:f>
            </c:strRef>
          </c:cat>
          <c:val>
            <c:numRef>
              <c:f>'Gráficos'!$AA$26:$AA$32</c:f>
              <c:numCache/>
            </c:numRef>
          </c:val>
        </c:ser>
        <c:ser>
          <c:idx val="2"/>
          <c:order val="2"/>
          <c:spPr>
            <a:solidFill>
              <a:srgbClr val="BF9000"/>
            </a:solidFill>
            <a:ln cmpd="sng">
              <a:solidFill>
                <a:srgbClr val="000000"/>
              </a:solidFill>
            </a:ln>
          </c:spPr>
          <c:cat>
            <c:strRef>
              <c:f>'Gráficos'!$Y$28:$Y$32</c:f>
            </c:strRef>
          </c:cat>
          <c:val>
            <c:numRef>
              <c:f>'Gráficos'!$AB$26:$AB$32</c:f>
              <c:numCache/>
            </c:numRef>
          </c:val>
        </c:ser>
        <c:axId val="35967288"/>
        <c:axId val="929705791"/>
      </c:barChart>
      <c:catAx>
        <c:axId val="35967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29705791"/>
      </c:catAx>
      <c:valAx>
        <c:axId val="9297057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596728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8.xml.rels><?xml version="1.0" encoding="UTF-8" standalone="yes"?><Relationships xmlns="http://schemas.openxmlformats.org/package/2006/relationships"><Relationship Id="rId20" Type="http://schemas.openxmlformats.org/officeDocument/2006/relationships/chart" Target="../charts/chart20.xml"/><Relationship Id="rId22" Type="http://schemas.openxmlformats.org/officeDocument/2006/relationships/chart" Target="../charts/chart22.xml"/><Relationship Id="rId21" Type="http://schemas.openxmlformats.org/officeDocument/2006/relationships/chart" Target="../charts/chart21.xml"/><Relationship Id="rId24" Type="http://schemas.openxmlformats.org/officeDocument/2006/relationships/chart" Target="../charts/chart24.xml"/><Relationship Id="rId23" Type="http://schemas.openxmlformats.org/officeDocument/2006/relationships/chart" Target="../charts/chart23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25" Type="http://schemas.openxmlformats.org/officeDocument/2006/relationships/chart" Target="../charts/chart25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7" Type="http://schemas.openxmlformats.org/officeDocument/2006/relationships/chart" Target="../charts/chart17.xml"/><Relationship Id="rId16" Type="http://schemas.openxmlformats.org/officeDocument/2006/relationships/chart" Target="../charts/chart16.xml"/><Relationship Id="rId19" Type="http://schemas.openxmlformats.org/officeDocument/2006/relationships/chart" Target="../charts/chart19.xml"/><Relationship Id="rId18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152400</xdr:colOff>
      <xdr:row>1</xdr:row>
      <xdr:rowOff>9525</xdr:rowOff>
    </xdr:from>
    <xdr:ext cx="2114550" cy="1295400"/>
    <xdr:graphicFrame>
      <xdr:nvGraphicFramePr>
        <xdr:cNvPr id="108003411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152400</xdr:colOff>
      <xdr:row>9</xdr:row>
      <xdr:rowOff>9525</xdr:rowOff>
    </xdr:from>
    <xdr:ext cx="2314575" cy="1428750"/>
    <xdr:graphicFrame>
      <xdr:nvGraphicFramePr>
        <xdr:cNvPr id="585073928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152400</xdr:colOff>
      <xdr:row>16</xdr:row>
      <xdr:rowOff>161925</xdr:rowOff>
    </xdr:from>
    <xdr:ext cx="2314575" cy="1428750"/>
    <xdr:graphicFrame>
      <xdr:nvGraphicFramePr>
        <xdr:cNvPr id="155800551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152400</xdr:colOff>
      <xdr:row>24</xdr:row>
      <xdr:rowOff>171450</xdr:rowOff>
    </xdr:from>
    <xdr:ext cx="2114550" cy="1295400"/>
    <xdr:graphicFrame>
      <xdr:nvGraphicFramePr>
        <xdr:cNvPr id="59613703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5</xdr:col>
      <xdr:colOff>152400</xdr:colOff>
      <xdr:row>32</xdr:row>
      <xdr:rowOff>171450</xdr:rowOff>
    </xdr:from>
    <xdr:ext cx="2181225" cy="1343025"/>
    <xdr:graphicFrame>
      <xdr:nvGraphicFramePr>
        <xdr:cNvPr id="59457047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6</xdr:col>
      <xdr:colOff>276225</xdr:colOff>
      <xdr:row>51</xdr:row>
      <xdr:rowOff>171450</xdr:rowOff>
    </xdr:from>
    <xdr:ext cx="2114550" cy="1343025"/>
    <xdr:graphicFrame>
      <xdr:nvGraphicFramePr>
        <xdr:cNvPr id="655057681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14</xdr:col>
      <xdr:colOff>247650</xdr:colOff>
      <xdr:row>51</xdr:row>
      <xdr:rowOff>171450</xdr:rowOff>
    </xdr:from>
    <xdr:ext cx="2181225" cy="1343025"/>
    <xdr:graphicFrame>
      <xdr:nvGraphicFramePr>
        <xdr:cNvPr id="1790584690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14</xdr:col>
      <xdr:colOff>247650</xdr:colOff>
      <xdr:row>59</xdr:row>
      <xdr:rowOff>180975</xdr:rowOff>
    </xdr:from>
    <xdr:ext cx="2190750" cy="1343025"/>
    <xdr:graphicFrame>
      <xdr:nvGraphicFramePr>
        <xdr:cNvPr id="64935786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14</xdr:col>
      <xdr:colOff>247650</xdr:colOff>
      <xdr:row>68</xdr:row>
      <xdr:rowOff>0</xdr:rowOff>
    </xdr:from>
    <xdr:ext cx="2114550" cy="1295400"/>
    <xdr:graphicFrame>
      <xdr:nvGraphicFramePr>
        <xdr:cNvPr id="1587095075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14</xdr:col>
      <xdr:colOff>247650</xdr:colOff>
      <xdr:row>75</xdr:row>
      <xdr:rowOff>180975</xdr:rowOff>
    </xdr:from>
    <xdr:ext cx="2190750" cy="1343025"/>
    <xdr:graphicFrame>
      <xdr:nvGraphicFramePr>
        <xdr:cNvPr id="88912893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247650</xdr:colOff>
      <xdr:row>83</xdr:row>
      <xdr:rowOff>161925</xdr:rowOff>
    </xdr:from>
    <xdr:ext cx="2181225" cy="1343025"/>
    <xdr:graphicFrame>
      <xdr:nvGraphicFramePr>
        <xdr:cNvPr id="723272659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6</xdr:col>
      <xdr:colOff>276225</xdr:colOff>
      <xdr:row>59</xdr:row>
      <xdr:rowOff>180975</xdr:rowOff>
    </xdr:from>
    <xdr:ext cx="2181225" cy="1343025"/>
    <xdr:graphicFrame>
      <xdr:nvGraphicFramePr>
        <xdr:cNvPr id="1403351436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6</xdr:col>
      <xdr:colOff>276225</xdr:colOff>
      <xdr:row>68</xdr:row>
      <xdr:rowOff>19050</xdr:rowOff>
    </xdr:from>
    <xdr:ext cx="2076450" cy="1295400"/>
    <xdr:graphicFrame>
      <xdr:nvGraphicFramePr>
        <xdr:cNvPr id="108372337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6</xdr:col>
      <xdr:colOff>276225</xdr:colOff>
      <xdr:row>75</xdr:row>
      <xdr:rowOff>180975</xdr:rowOff>
    </xdr:from>
    <xdr:ext cx="2181225" cy="1343025"/>
    <xdr:graphicFrame>
      <xdr:nvGraphicFramePr>
        <xdr:cNvPr id="1599971982" name="Chart 1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6</xdr:col>
      <xdr:colOff>276225</xdr:colOff>
      <xdr:row>84</xdr:row>
      <xdr:rowOff>9525</xdr:rowOff>
    </xdr:from>
    <xdr:ext cx="2114550" cy="1295400"/>
    <xdr:graphicFrame>
      <xdr:nvGraphicFramePr>
        <xdr:cNvPr id="1144166884" name="Chart 1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6</xdr:col>
      <xdr:colOff>152400</xdr:colOff>
      <xdr:row>42</xdr:row>
      <xdr:rowOff>9525</xdr:rowOff>
    </xdr:from>
    <xdr:ext cx="2038350" cy="1295400"/>
    <xdr:graphicFrame>
      <xdr:nvGraphicFramePr>
        <xdr:cNvPr id="1139653054" name="Chart 1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12</xdr:col>
      <xdr:colOff>447675</xdr:colOff>
      <xdr:row>1</xdr:row>
      <xdr:rowOff>9525</xdr:rowOff>
    </xdr:from>
    <xdr:ext cx="2076450" cy="1295400"/>
    <xdr:graphicFrame>
      <xdr:nvGraphicFramePr>
        <xdr:cNvPr id="1025861000" name="Chart 1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12</xdr:col>
      <xdr:colOff>447675</xdr:colOff>
      <xdr:row>9</xdr:row>
      <xdr:rowOff>9525</xdr:rowOff>
    </xdr:from>
    <xdr:ext cx="2314575" cy="1428750"/>
    <xdr:graphicFrame>
      <xdr:nvGraphicFramePr>
        <xdr:cNvPr id="1767555506" name="Chart 1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 fLocksWithSheet="0"/>
  </xdr:oneCellAnchor>
  <xdr:oneCellAnchor>
    <xdr:from>
      <xdr:col>12</xdr:col>
      <xdr:colOff>447675</xdr:colOff>
      <xdr:row>24</xdr:row>
      <xdr:rowOff>171450</xdr:rowOff>
    </xdr:from>
    <xdr:ext cx="2181225" cy="1343025"/>
    <xdr:graphicFrame>
      <xdr:nvGraphicFramePr>
        <xdr:cNvPr id="198121823" name="Chart 1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  <xdr:oneCellAnchor>
    <xdr:from>
      <xdr:col>21</xdr:col>
      <xdr:colOff>0</xdr:colOff>
      <xdr:row>1</xdr:row>
      <xdr:rowOff>0</xdr:rowOff>
    </xdr:from>
    <xdr:ext cx="2181225" cy="1343025"/>
    <xdr:graphicFrame>
      <xdr:nvGraphicFramePr>
        <xdr:cNvPr id="633358564" name="Chart 2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 fLocksWithSheet="0"/>
  </xdr:oneCellAnchor>
  <xdr:oneCellAnchor>
    <xdr:from>
      <xdr:col>21</xdr:col>
      <xdr:colOff>0</xdr:colOff>
      <xdr:row>9</xdr:row>
      <xdr:rowOff>9525</xdr:rowOff>
    </xdr:from>
    <xdr:ext cx="2314575" cy="1428750"/>
    <xdr:graphicFrame>
      <xdr:nvGraphicFramePr>
        <xdr:cNvPr id="1777941079" name="Chart 2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 fLocksWithSheet="0"/>
  </xdr:oneCellAnchor>
  <xdr:oneCellAnchor>
    <xdr:from>
      <xdr:col>21</xdr:col>
      <xdr:colOff>0</xdr:colOff>
      <xdr:row>25</xdr:row>
      <xdr:rowOff>0</xdr:rowOff>
    </xdr:from>
    <xdr:ext cx="2181225" cy="1343025"/>
    <xdr:graphicFrame>
      <xdr:nvGraphicFramePr>
        <xdr:cNvPr id="1339484869" name="Chart 2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 fLocksWithSheet="0"/>
  </xdr:oneCellAnchor>
  <xdr:oneCellAnchor>
    <xdr:from>
      <xdr:col>29</xdr:col>
      <xdr:colOff>0</xdr:colOff>
      <xdr:row>0</xdr:row>
      <xdr:rowOff>0</xdr:rowOff>
    </xdr:from>
    <xdr:ext cx="2190750" cy="1343025"/>
    <xdr:graphicFrame>
      <xdr:nvGraphicFramePr>
        <xdr:cNvPr id="1323616623" name="Chart 2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 fLocksWithSheet="0"/>
  </xdr:oneCellAnchor>
  <xdr:oneCellAnchor>
    <xdr:from>
      <xdr:col>29</xdr:col>
      <xdr:colOff>0</xdr:colOff>
      <xdr:row>8</xdr:row>
      <xdr:rowOff>152400</xdr:rowOff>
    </xdr:from>
    <xdr:ext cx="2390775" cy="1476375"/>
    <xdr:graphicFrame>
      <xdr:nvGraphicFramePr>
        <xdr:cNvPr id="155358478" name="Chart 2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 fLocksWithSheet="0"/>
  </xdr:oneCellAnchor>
  <xdr:oneCellAnchor>
    <xdr:from>
      <xdr:col>29</xdr:col>
      <xdr:colOff>0</xdr:colOff>
      <xdr:row>25</xdr:row>
      <xdr:rowOff>0</xdr:rowOff>
    </xdr:from>
    <xdr:ext cx="2114550" cy="1343025"/>
    <xdr:graphicFrame>
      <xdr:nvGraphicFramePr>
        <xdr:cNvPr id="157461421" name="Chart 2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0"/>
  <cols>
    <col customWidth="1" min="1" max="1" width="0.63"/>
    <col customWidth="1" min="5" max="5" width="14.63"/>
    <col customWidth="1" min="6" max="6" width="20.63"/>
  </cols>
  <sheetData>
    <row r="1" ht="5.25" customHeight="1">
      <c r="A1" s="1" t="s">
        <v>0</v>
      </c>
    </row>
    <row r="2" ht="15.75" customHeight="1">
      <c r="B2" s="2" t="s">
        <v>1</v>
      </c>
      <c r="C2" s="3"/>
      <c r="D2" s="4" t="s">
        <v>2</v>
      </c>
      <c r="E2" s="4" t="s">
        <v>3</v>
      </c>
      <c r="F2" s="4" t="s">
        <v>4</v>
      </c>
      <c r="G2" s="5" t="s">
        <v>5</v>
      </c>
      <c r="H2" s="6"/>
      <c r="I2" s="7" t="s">
        <v>6</v>
      </c>
      <c r="J2" s="6"/>
      <c r="K2" s="6"/>
      <c r="L2" s="6"/>
      <c r="M2" s="6"/>
      <c r="N2" s="8"/>
      <c r="O2" s="8"/>
      <c r="P2" s="8"/>
    </row>
    <row r="3" ht="15.75" customHeight="1">
      <c r="B3" s="9"/>
      <c r="C3" s="10"/>
      <c r="D3" s="11"/>
      <c r="E3" s="11"/>
      <c r="F3" s="11"/>
      <c r="G3" s="12" t="s">
        <v>7</v>
      </c>
      <c r="H3" s="5" t="s">
        <v>8</v>
      </c>
      <c r="I3" s="13" t="s">
        <v>9</v>
      </c>
      <c r="J3" s="14" t="s">
        <v>10</v>
      </c>
      <c r="K3" s="15" t="s">
        <v>11</v>
      </c>
      <c r="L3" s="15" t="s">
        <v>8</v>
      </c>
      <c r="M3" s="16" t="s">
        <v>12</v>
      </c>
      <c r="N3" s="8"/>
      <c r="O3" s="8"/>
      <c r="P3" s="8"/>
    </row>
    <row r="4" ht="15.75" customHeight="1">
      <c r="B4" s="17" t="s">
        <v>13</v>
      </c>
      <c r="C4" s="18">
        <v>0.0</v>
      </c>
      <c r="D4" s="19">
        <v>8.12</v>
      </c>
      <c r="E4" s="19">
        <v>0.0</v>
      </c>
      <c r="F4" s="19">
        <v>0.0</v>
      </c>
      <c r="G4" s="19">
        <v>0.0</v>
      </c>
      <c r="H4" s="20">
        <f>G4</f>
        <v>0</v>
      </c>
      <c r="I4" s="21">
        <v>0.0</v>
      </c>
      <c r="J4" s="22">
        <v>0.0</v>
      </c>
      <c r="K4" s="23">
        <f t="shared" ref="K4:K8" si="1">AVERAGE(I4:J4)</f>
        <v>0</v>
      </c>
      <c r="L4" s="23">
        <f>K4</f>
        <v>0</v>
      </c>
      <c r="M4" s="24">
        <f t="shared" ref="M4:M8" si="2">(814.2565*L4) - 3.893</f>
        <v>-3.893</v>
      </c>
      <c r="N4" s="8"/>
      <c r="O4" s="8"/>
      <c r="P4" s="8"/>
    </row>
    <row r="5" ht="15.75" customHeight="1">
      <c r="B5" s="25"/>
      <c r="C5" s="26">
        <v>25.0</v>
      </c>
      <c r="D5" s="19">
        <v>9.68</v>
      </c>
      <c r="E5" s="19">
        <v>21.8</v>
      </c>
      <c r="F5" s="19">
        <v>4.38</v>
      </c>
      <c r="G5" s="19">
        <v>252.0</v>
      </c>
      <c r="H5" s="20">
        <f>G5*5</f>
        <v>1260</v>
      </c>
      <c r="I5" s="21">
        <v>0.102</v>
      </c>
      <c r="J5" s="22">
        <v>0.108</v>
      </c>
      <c r="K5" s="23">
        <f t="shared" si="1"/>
        <v>0.105</v>
      </c>
      <c r="L5" s="23">
        <f>K5*5</f>
        <v>0.525</v>
      </c>
      <c r="M5" s="24">
        <f t="shared" si="2"/>
        <v>423.5916625</v>
      </c>
      <c r="N5" s="8"/>
      <c r="O5" s="8"/>
      <c r="P5" s="8"/>
    </row>
    <row r="6" ht="15.75" customHeight="1">
      <c r="B6" s="25"/>
      <c r="C6" s="26">
        <v>50.0</v>
      </c>
      <c r="D6" s="27">
        <v>9.57</v>
      </c>
      <c r="E6" s="27">
        <v>32.2</v>
      </c>
      <c r="F6" s="27">
        <v>8.31</v>
      </c>
      <c r="G6" s="27">
        <v>244.0</v>
      </c>
      <c r="H6" s="20">
        <f>G6*10</f>
        <v>2440</v>
      </c>
      <c r="I6" s="21">
        <v>0.114</v>
      </c>
      <c r="J6" s="22">
        <v>0.127</v>
      </c>
      <c r="K6" s="23">
        <f t="shared" si="1"/>
        <v>0.1205</v>
      </c>
      <c r="L6" s="23">
        <f>K6*10</f>
        <v>1.205</v>
      </c>
      <c r="M6" s="24">
        <f t="shared" si="2"/>
        <v>977.2860825</v>
      </c>
      <c r="N6" s="8"/>
      <c r="O6" s="8"/>
      <c r="P6" s="8"/>
    </row>
    <row r="7" ht="15.75" customHeight="1">
      <c r="B7" s="25"/>
      <c r="C7" s="26">
        <v>75.0</v>
      </c>
      <c r="D7" s="27">
        <v>9.5</v>
      </c>
      <c r="E7" s="27">
        <v>40.3</v>
      </c>
      <c r="F7" s="27">
        <v>12.39</v>
      </c>
      <c r="G7" s="27">
        <v>187.0</v>
      </c>
      <c r="H7" s="20">
        <f t="shared" ref="H7:H8" si="3">G7*20</f>
        <v>3740</v>
      </c>
      <c r="I7" s="22">
        <v>0.08</v>
      </c>
      <c r="J7" s="22">
        <v>0.085</v>
      </c>
      <c r="K7" s="23">
        <f t="shared" si="1"/>
        <v>0.0825</v>
      </c>
      <c r="L7" s="23">
        <f t="shared" ref="L7:L8" si="4">K7*20</f>
        <v>1.65</v>
      </c>
      <c r="M7" s="24">
        <f t="shared" si="2"/>
        <v>1339.630225</v>
      </c>
      <c r="N7" s="8"/>
      <c r="O7" s="8"/>
      <c r="P7" s="8"/>
    </row>
    <row r="8" ht="15.75" customHeight="1">
      <c r="B8" s="10"/>
      <c r="C8" s="28">
        <v>100.0</v>
      </c>
      <c r="D8" s="27">
        <v>9.46</v>
      </c>
      <c r="E8" s="27">
        <v>46.5</v>
      </c>
      <c r="F8" s="27">
        <v>16.02</v>
      </c>
      <c r="G8" s="27">
        <v>246.0</v>
      </c>
      <c r="H8" s="20">
        <f t="shared" si="3"/>
        <v>4920</v>
      </c>
      <c r="I8" s="22">
        <v>0.093</v>
      </c>
      <c r="J8" s="22">
        <v>0.102</v>
      </c>
      <c r="K8" s="23">
        <f t="shared" si="1"/>
        <v>0.0975</v>
      </c>
      <c r="L8" s="23">
        <f t="shared" si="4"/>
        <v>1.95</v>
      </c>
      <c r="M8" s="24">
        <f t="shared" si="2"/>
        <v>1583.907175</v>
      </c>
      <c r="N8" s="8"/>
      <c r="O8" s="8"/>
      <c r="P8" s="8"/>
    </row>
    <row r="9" ht="15.75" customHeight="1">
      <c r="B9" s="18"/>
      <c r="C9" s="10"/>
      <c r="D9" s="29"/>
      <c r="E9" s="6"/>
      <c r="F9" s="6"/>
      <c r="G9" s="6"/>
      <c r="H9" s="6"/>
      <c r="I9" s="6"/>
      <c r="J9" s="6"/>
      <c r="K9" s="6"/>
      <c r="L9" s="6"/>
      <c r="M9" s="30"/>
      <c r="N9" s="8"/>
      <c r="O9" s="8"/>
      <c r="P9" s="8"/>
    </row>
    <row r="10" ht="15.75" customHeight="1">
      <c r="B10" s="31" t="s">
        <v>14</v>
      </c>
      <c r="C10" s="26">
        <v>0.0</v>
      </c>
      <c r="D10" s="19">
        <v>8.12</v>
      </c>
      <c r="E10" s="19">
        <v>0.0</v>
      </c>
      <c r="F10" s="19">
        <v>0.0</v>
      </c>
      <c r="G10" s="19">
        <v>0.0</v>
      </c>
      <c r="H10" s="20">
        <f>G10</f>
        <v>0</v>
      </c>
      <c r="I10" s="21">
        <v>0.0</v>
      </c>
      <c r="J10" s="22">
        <v>0.0</v>
      </c>
      <c r="K10" s="23">
        <f t="shared" ref="K10:K14" si="5">AVERAGE(I10:J10)</f>
        <v>0</v>
      </c>
      <c r="L10" s="23">
        <f>K10</f>
        <v>0</v>
      </c>
      <c r="M10" s="24">
        <f t="shared" ref="M10:M14" si="6">(814.2565*L10) - 3.893</f>
        <v>-3.893</v>
      </c>
      <c r="N10" s="8"/>
      <c r="O10" s="8"/>
      <c r="P10" s="8"/>
    </row>
    <row r="11" ht="15.75" customHeight="1">
      <c r="B11" s="25"/>
      <c r="C11" s="26">
        <v>25.0</v>
      </c>
      <c r="D11" s="19">
        <v>9.68</v>
      </c>
      <c r="E11" s="19">
        <v>21.8</v>
      </c>
      <c r="F11" s="19">
        <v>4.38</v>
      </c>
      <c r="G11" s="19">
        <v>252.0</v>
      </c>
      <c r="H11" s="20">
        <f>G11*5</f>
        <v>1260</v>
      </c>
      <c r="I11" s="21">
        <v>0.102</v>
      </c>
      <c r="J11" s="22">
        <v>0.108</v>
      </c>
      <c r="K11" s="23">
        <f t="shared" si="5"/>
        <v>0.105</v>
      </c>
      <c r="L11" s="23">
        <f>K11*5</f>
        <v>0.525</v>
      </c>
      <c r="M11" s="24">
        <f t="shared" si="6"/>
        <v>423.5916625</v>
      </c>
    </row>
    <row r="12" ht="15.75" customHeight="1">
      <c r="B12" s="25"/>
      <c r="C12" s="26">
        <v>50.0</v>
      </c>
      <c r="D12" s="27">
        <v>9.57</v>
      </c>
      <c r="E12" s="27">
        <v>32.2</v>
      </c>
      <c r="F12" s="27">
        <v>8.31</v>
      </c>
      <c r="G12" s="27">
        <v>244.0</v>
      </c>
      <c r="H12" s="20">
        <f>G12*10</f>
        <v>2440</v>
      </c>
      <c r="I12" s="21">
        <v>0.114</v>
      </c>
      <c r="J12" s="22">
        <v>0.127</v>
      </c>
      <c r="K12" s="23">
        <f t="shared" si="5"/>
        <v>0.1205</v>
      </c>
      <c r="L12" s="23">
        <f>K12*10</f>
        <v>1.205</v>
      </c>
      <c r="M12" s="24">
        <f t="shared" si="6"/>
        <v>977.2860825</v>
      </c>
    </row>
    <row r="13" ht="15.75" customHeight="1">
      <c r="B13" s="25"/>
      <c r="C13" s="26">
        <v>75.0</v>
      </c>
      <c r="D13" s="27">
        <v>9.5</v>
      </c>
      <c r="E13" s="27">
        <v>40.3</v>
      </c>
      <c r="F13" s="27">
        <v>12.39</v>
      </c>
      <c r="G13" s="27">
        <v>187.0</v>
      </c>
      <c r="H13" s="20">
        <f t="shared" ref="H13:H14" si="7">G13*20</f>
        <v>3740</v>
      </c>
      <c r="I13" s="22">
        <v>0.08</v>
      </c>
      <c r="J13" s="22">
        <v>0.085</v>
      </c>
      <c r="K13" s="23">
        <f t="shared" si="5"/>
        <v>0.0825</v>
      </c>
      <c r="L13" s="23">
        <f t="shared" ref="L13:L14" si="8">K13*20</f>
        <v>1.65</v>
      </c>
      <c r="M13" s="24">
        <f t="shared" si="6"/>
        <v>1339.630225</v>
      </c>
    </row>
    <row r="14" ht="15.75" customHeight="1">
      <c r="B14" s="10"/>
      <c r="C14" s="28">
        <v>100.0</v>
      </c>
      <c r="D14" s="27">
        <v>9.46</v>
      </c>
      <c r="E14" s="27">
        <v>46.5</v>
      </c>
      <c r="F14" s="27">
        <v>16.02</v>
      </c>
      <c r="G14" s="27">
        <v>246.0</v>
      </c>
      <c r="H14" s="20">
        <f t="shared" si="7"/>
        <v>4920</v>
      </c>
      <c r="I14" s="22">
        <v>0.093</v>
      </c>
      <c r="J14" s="22">
        <v>0.102</v>
      </c>
      <c r="K14" s="23">
        <f t="shared" si="5"/>
        <v>0.0975</v>
      </c>
      <c r="L14" s="23">
        <f t="shared" si="8"/>
        <v>1.95</v>
      </c>
      <c r="M14" s="24">
        <f t="shared" si="6"/>
        <v>1583.907175</v>
      </c>
    </row>
    <row r="15" ht="15.75" customHeight="1">
      <c r="B15" s="32"/>
      <c r="C15" s="10"/>
      <c r="D15" s="29"/>
      <c r="E15" s="6"/>
      <c r="F15" s="6"/>
      <c r="G15" s="6"/>
      <c r="H15" s="6"/>
      <c r="I15" s="6"/>
      <c r="J15" s="6"/>
      <c r="K15" s="6"/>
      <c r="L15" s="6"/>
      <c r="M15" s="30"/>
    </row>
    <row r="16" ht="15.75" customHeight="1">
      <c r="B16" s="33" t="s">
        <v>15</v>
      </c>
      <c r="C16" s="26">
        <v>0.0</v>
      </c>
      <c r="D16" s="27">
        <v>8.12</v>
      </c>
      <c r="E16" s="19">
        <v>0.0</v>
      </c>
      <c r="F16" s="19">
        <v>0.0</v>
      </c>
      <c r="G16" s="19">
        <v>0.0</v>
      </c>
      <c r="H16" s="20">
        <f>G16</f>
        <v>0</v>
      </c>
      <c r="I16" s="21">
        <v>0.0</v>
      </c>
      <c r="J16" s="22">
        <v>0.0</v>
      </c>
      <c r="K16" s="23">
        <f t="shared" ref="K16:K20" si="9">AVERAGE(I16:J16)</f>
        <v>0</v>
      </c>
      <c r="L16" s="23">
        <f>K16</f>
        <v>0</v>
      </c>
      <c r="M16" s="24">
        <f t="shared" ref="M16:M20" si="10">(814.2565*L16) - 3.893</f>
        <v>-3.893</v>
      </c>
    </row>
    <row r="17" ht="15.75" customHeight="1">
      <c r="B17" s="25"/>
      <c r="C17" s="26">
        <v>25.0</v>
      </c>
      <c r="D17" s="27">
        <v>8.07</v>
      </c>
      <c r="E17" s="34">
        <v>22.9</v>
      </c>
      <c r="F17" s="19">
        <v>7.65</v>
      </c>
      <c r="G17" s="19">
        <v>256.0</v>
      </c>
      <c r="H17" s="34">
        <f>G17*5</f>
        <v>1280</v>
      </c>
      <c r="I17" s="22">
        <v>0.126</v>
      </c>
      <c r="J17" s="22">
        <v>0.121</v>
      </c>
      <c r="K17" s="23">
        <f t="shared" si="9"/>
        <v>0.1235</v>
      </c>
      <c r="L17" s="23">
        <f>K17*5</f>
        <v>0.6175</v>
      </c>
      <c r="M17" s="24">
        <f t="shared" si="10"/>
        <v>498.9103888</v>
      </c>
    </row>
    <row r="18" ht="15.75" customHeight="1">
      <c r="B18" s="25"/>
      <c r="C18" s="26">
        <v>50.0</v>
      </c>
      <c r="D18" s="27">
        <v>8.01</v>
      </c>
      <c r="E18" s="34">
        <v>39.9</v>
      </c>
      <c r="F18" s="27">
        <v>13.53</v>
      </c>
      <c r="G18" s="27">
        <v>237.0</v>
      </c>
      <c r="H18" s="34">
        <f>G18*10</f>
        <v>2370</v>
      </c>
      <c r="I18" s="22">
        <v>0.128</v>
      </c>
      <c r="J18" s="22">
        <v>0.12</v>
      </c>
      <c r="K18" s="23">
        <f t="shared" si="9"/>
        <v>0.124</v>
      </c>
      <c r="L18" s="23">
        <f>K18*10</f>
        <v>1.24</v>
      </c>
      <c r="M18" s="24">
        <f t="shared" si="10"/>
        <v>1005.78506</v>
      </c>
    </row>
    <row r="19" ht="15.75" customHeight="1">
      <c r="B19" s="25"/>
      <c r="C19" s="26">
        <v>75.0</v>
      </c>
      <c r="D19" s="27">
        <v>7.91</v>
      </c>
      <c r="E19" s="35">
        <v>142.0</v>
      </c>
      <c r="F19" s="27">
        <v>28.84</v>
      </c>
      <c r="G19" s="27">
        <v>268.0</v>
      </c>
      <c r="H19" s="34">
        <f t="shared" ref="H19:H20" si="11">G19*20</f>
        <v>5360</v>
      </c>
      <c r="I19" s="22">
        <v>0.139</v>
      </c>
      <c r="J19" s="22">
        <v>0.134</v>
      </c>
      <c r="K19" s="23">
        <f t="shared" si="9"/>
        <v>0.1365</v>
      </c>
      <c r="L19" s="23">
        <f t="shared" ref="L19:L20" si="12">K19*20</f>
        <v>2.73</v>
      </c>
      <c r="M19" s="24">
        <f t="shared" si="10"/>
        <v>2219.027245</v>
      </c>
    </row>
    <row r="20" ht="15.75" customHeight="1">
      <c r="B20" s="10"/>
      <c r="C20" s="28">
        <v>100.0</v>
      </c>
      <c r="D20" s="27">
        <v>7.91</v>
      </c>
      <c r="E20" s="35">
        <v>233.0</v>
      </c>
      <c r="F20" s="27">
        <v>31.9</v>
      </c>
      <c r="G20" s="27">
        <v>326.0</v>
      </c>
      <c r="H20" s="34">
        <f t="shared" si="11"/>
        <v>6520</v>
      </c>
      <c r="I20" s="22">
        <v>0.151</v>
      </c>
      <c r="J20" s="22">
        <v>0.148</v>
      </c>
      <c r="K20" s="23">
        <f t="shared" si="9"/>
        <v>0.1495</v>
      </c>
      <c r="L20" s="23">
        <f t="shared" si="12"/>
        <v>2.99</v>
      </c>
      <c r="M20" s="24">
        <f t="shared" si="10"/>
        <v>2430.733935</v>
      </c>
    </row>
    <row r="21" ht="15.75" customHeight="1">
      <c r="B21" s="18"/>
      <c r="C21" s="10"/>
      <c r="D21" s="29"/>
      <c r="E21" s="6"/>
      <c r="F21" s="6"/>
      <c r="G21" s="6"/>
      <c r="H21" s="6"/>
      <c r="I21" s="6"/>
      <c r="J21" s="6"/>
      <c r="K21" s="6"/>
      <c r="L21" s="6"/>
      <c r="M21" s="30"/>
    </row>
    <row r="22" ht="15.75" customHeight="1">
      <c r="B22" s="36" t="s">
        <v>16</v>
      </c>
      <c r="C22" s="26">
        <v>0.0</v>
      </c>
      <c r="D22" s="27">
        <v>8.12</v>
      </c>
      <c r="E22" s="19">
        <v>0.0</v>
      </c>
      <c r="F22" s="19">
        <v>0.0</v>
      </c>
      <c r="G22" s="19">
        <v>0.0</v>
      </c>
      <c r="H22" s="20">
        <f>G22</f>
        <v>0</v>
      </c>
      <c r="I22" s="21">
        <v>0.0</v>
      </c>
      <c r="J22" s="22">
        <v>0.0</v>
      </c>
      <c r="K22" s="23">
        <f t="shared" ref="K22:K26" si="13">AVERAGE(I22:J22)</f>
        <v>0</v>
      </c>
      <c r="L22" s="23">
        <f>K22</f>
        <v>0</v>
      </c>
      <c r="M22" s="24">
        <f t="shared" ref="M22:M26" si="14">(814.2565*L22) - 3.893</f>
        <v>-3.893</v>
      </c>
    </row>
    <row r="23" ht="15.75" customHeight="1">
      <c r="B23" s="25"/>
      <c r="C23" s="26">
        <v>25.0</v>
      </c>
      <c r="D23" s="27">
        <v>8.07</v>
      </c>
      <c r="E23" s="34">
        <v>22.9</v>
      </c>
      <c r="F23" s="19">
        <v>7.65</v>
      </c>
      <c r="G23" s="19">
        <v>256.0</v>
      </c>
      <c r="H23" s="34">
        <f>G23*5</f>
        <v>1280</v>
      </c>
      <c r="I23" s="22">
        <v>0.126</v>
      </c>
      <c r="J23" s="22">
        <v>0.121</v>
      </c>
      <c r="K23" s="23">
        <f t="shared" si="13"/>
        <v>0.1235</v>
      </c>
      <c r="L23" s="23">
        <f>K23*5</f>
        <v>0.6175</v>
      </c>
      <c r="M23" s="24">
        <f t="shared" si="14"/>
        <v>498.9103888</v>
      </c>
    </row>
    <row r="24" ht="15.75" customHeight="1">
      <c r="B24" s="25"/>
      <c r="C24" s="26">
        <v>50.0</v>
      </c>
      <c r="D24" s="27">
        <v>8.01</v>
      </c>
      <c r="E24" s="34">
        <v>39.9</v>
      </c>
      <c r="F24" s="27">
        <v>13.53</v>
      </c>
      <c r="G24" s="27">
        <v>237.0</v>
      </c>
      <c r="H24" s="34">
        <f>G24*10</f>
        <v>2370</v>
      </c>
      <c r="I24" s="22">
        <v>0.128</v>
      </c>
      <c r="J24" s="22">
        <v>0.12</v>
      </c>
      <c r="K24" s="23">
        <f t="shared" si="13"/>
        <v>0.124</v>
      </c>
      <c r="L24" s="23">
        <f>K24*10</f>
        <v>1.24</v>
      </c>
      <c r="M24" s="24">
        <f t="shared" si="14"/>
        <v>1005.78506</v>
      </c>
    </row>
    <row r="25" ht="15.75" customHeight="1">
      <c r="B25" s="25"/>
      <c r="C25" s="26">
        <v>75.0</v>
      </c>
      <c r="D25" s="27">
        <v>7.91</v>
      </c>
      <c r="E25" s="35">
        <v>142.0</v>
      </c>
      <c r="F25" s="27">
        <v>28.84</v>
      </c>
      <c r="G25" s="27">
        <v>268.0</v>
      </c>
      <c r="H25" s="34">
        <f t="shared" ref="H25:H26" si="15">G25*20</f>
        <v>5360</v>
      </c>
      <c r="I25" s="22">
        <v>0.139</v>
      </c>
      <c r="J25" s="22">
        <v>0.134</v>
      </c>
      <c r="K25" s="23">
        <f t="shared" si="13"/>
        <v>0.1365</v>
      </c>
      <c r="L25" s="23">
        <f t="shared" ref="L25:L26" si="16">K25*20</f>
        <v>2.73</v>
      </c>
      <c r="M25" s="24">
        <f t="shared" si="14"/>
        <v>2219.027245</v>
      </c>
    </row>
    <row r="26" ht="15.75" customHeight="1">
      <c r="B26" s="10"/>
      <c r="C26" s="28">
        <v>100.0</v>
      </c>
      <c r="D26" s="27">
        <v>7.91</v>
      </c>
      <c r="E26" s="35">
        <v>233.0</v>
      </c>
      <c r="F26" s="27">
        <v>31.9</v>
      </c>
      <c r="G26" s="27">
        <v>326.0</v>
      </c>
      <c r="H26" s="34">
        <f t="shared" si="15"/>
        <v>6520</v>
      </c>
      <c r="I26" s="22">
        <v>0.151</v>
      </c>
      <c r="J26" s="22">
        <v>0.148</v>
      </c>
      <c r="K26" s="23">
        <f t="shared" si="13"/>
        <v>0.1495</v>
      </c>
      <c r="L26" s="23">
        <f t="shared" si="16"/>
        <v>2.99</v>
      </c>
      <c r="M26" s="24">
        <f t="shared" si="14"/>
        <v>2430.733935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6">
    <mergeCell ref="B2:C3"/>
    <mergeCell ref="D2:D3"/>
    <mergeCell ref="E2:E3"/>
    <mergeCell ref="F2:F3"/>
    <mergeCell ref="G2:H2"/>
    <mergeCell ref="I2:M2"/>
    <mergeCell ref="B4:B8"/>
    <mergeCell ref="B16:B20"/>
    <mergeCell ref="B22:B26"/>
    <mergeCell ref="B9:C9"/>
    <mergeCell ref="D9:M9"/>
    <mergeCell ref="B10:B14"/>
    <mergeCell ref="B15:C15"/>
    <mergeCell ref="D15:M15"/>
    <mergeCell ref="B21:C21"/>
    <mergeCell ref="D21:M2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0"/>
  <cols>
    <col customWidth="1" min="1" max="1" width="0.63"/>
    <col customWidth="1" min="5" max="5" width="14.63"/>
    <col customWidth="1" min="6" max="6" width="20.63"/>
  </cols>
  <sheetData>
    <row r="1" ht="5.25" customHeight="1">
      <c r="A1" s="1" t="s">
        <v>17</v>
      </c>
    </row>
    <row r="2" ht="15.75" customHeight="1">
      <c r="B2" s="2" t="s">
        <v>1</v>
      </c>
      <c r="C2" s="3"/>
      <c r="D2" s="4" t="s">
        <v>2</v>
      </c>
      <c r="E2" s="4" t="s">
        <v>3</v>
      </c>
      <c r="F2" s="4" t="s">
        <v>4</v>
      </c>
      <c r="G2" s="37" t="s">
        <v>5</v>
      </c>
      <c r="H2" s="38" t="s">
        <v>6</v>
      </c>
      <c r="I2" s="8"/>
      <c r="J2" s="8"/>
      <c r="K2" s="8"/>
    </row>
    <row r="3" ht="15.75" customHeight="1">
      <c r="B3" s="9"/>
      <c r="C3" s="10"/>
      <c r="D3" s="11"/>
      <c r="E3" s="11"/>
      <c r="F3" s="11"/>
      <c r="G3" s="39"/>
      <c r="H3" s="11"/>
      <c r="I3" s="8"/>
      <c r="J3" s="8"/>
      <c r="K3" s="8"/>
    </row>
    <row r="4" ht="15.75" customHeight="1">
      <c r="B4" s="17" t="s">
        <v>13</v>
      </c>
      <c r="C4" s="18">
        <v>0.0</v>
      </c>
      <c r="D4" s="40">
        <f>'Dia 0'!D4</f>
        <v>8.12</v>
      </c>
      <c r="E4" s="40">
        <f>'Dia 0'!E4</f>
        <v>0</v>
      </c>
      <c r="F4" s="40">
        <f>'Dia 0'!F4</f>
        <v>0</v>
      </c>
      <c r="G4" s="40">
        <f>'Dia 0'!H4</f>
        <v>0</v>
      </c>
      <c r="H4" s="40">
        <f>'Dia 0'!$M4</f>
        <v>-3.893</v>
      </c>
      <c r="I4" s="8"/>
      <c r="J4" s="8"/>
      <c r="K4" s="8"/>
    </row>
    <row r="5" ht="15.75" customHeight="1">
      <c r="B5" s="25"/>
      <c r="C5" s="26">
        <v>25.0</v>
      </c>
      <c r="D5" s="40">
        <f>'Dia 0'!D5</f>
        <v>9.68</v>
      </c>
      <c r="E5" s="40">
        <f>'Dia 0'!E5</f>
        <v>21.8</v>
      </c>
      <c r="F5" s="40">
        <f>'Dia 0'!F5</f>
        <v>4.38</v>
      </c>
      <c r="G5" s="40">
        <f>'Dia 0'!H5</f>
        <v>1260</v>
      </c>
      <c r="H5" s="40">
        <f>'Dia 0'!$M5</f>
        <v>423.5916625</v>
      </c>
      <c r="I5" s="8"/>
      <c r="J5" s="8"/>
      <c r="K5" s="8"/>
    </row>
    <row r="6" ht="15.75" customHeight="1">
      <c r="B6" s="25"/>
      <c r="C6" s="26">
        <v>50.0</v>
      </c>
      <c r="D6" s="40">
        <f>'Dia 0'!D6</f>
        <v>9.57</v>
      </c>
      <c r="E6" s="40">
        <f>'Dia 0'!E6</f>
        <v>32.2</v>
      </c>
      <c r="F6" s="40">
        <f>'Dia 0'!F6</f>
        <v>8.31</v>
      </c>
      <c r="G6" s="40">
        <f>'Dia 0'!H6</f>
        <v>2440</v>
      </c>
      <c r="H6" s="40">
        <f>'Dia 0'!$M6</f>
        <v>977.2860825</v>
      </c>
      <c r="I6" s="8"/>
      <c r="J6" s="8"/>
      <c r="K6" s="8"/>
    </row>
    <row r="7" ht="15.75" customHeight="1">
      <c r="B7" s="25"/>
      <c r="C7" s="26">
        <v>75.0</v>
      </c>
      <c r="D7" s="40">
        <f>'Dia 0'!D7</f>
        <v>9.5</v>
      </c>
      <c r="E7" s="40">
        <f>'Dia 0'!E7</f>
        <v>40.3</v>
      </c>
      <c r="F7" s="40">
        <f>'Dia 0'!F7</f>
        <v>12.39</v>
      </c>
      <c r="G7" s="40">
        <f>'Dia 0'!H7</f>
        <v>3740</v>
      </c>
      <c r="H7" s="40">
        <f>'Dia 0'!$M7</f>
        <v>1339.630225</v>
      </c>
      <c r="I7" s="8"/>
      <c r="J7" s="8"/>
      <c r="K7" s="8"/>
    </row>
    <row r="8" ht="15.75" customHeight="1">
      <c r="B8" s="10"/>
      <c r="C8" s="28">
        <v>100.0</v>
      </c>
      <c r="D8" s="40">
        <f>'Dia 0'!D8</f>
        <v>9.46</v>
      </c>
      <c r="E8" s="40">
        <f>'Dia 0'!E8</f>
        <v>46.5</v>
      </c>
      <c r="F8" s="40">
        <f>'Dia 0'!F8</f>
        <v>16.02</v>
      </c>
      <c r="G8" s="40">
        <f>'Dia 0'!H8</f>
        <v>4920</v>
      </c>
      <c r="H8" s="40">
        <f>'Dia 0'!$M8</f>
        <v>1583.907175</v>
      </c>
      <c r="I8" s="8"/>
      <c r="J8" s="8"/>
      <c r="K8" s="8"/>
    </row>
    <row r="9" ht="15.75" customHeight="1">
      <c r="B9" s="18"/>
      <c r="C9" s="10"/>
      <c r="D9" s="41"/>
      <c r="E9" s="6"/>
      <c r="F9" s="6"/>
      <c r="G9" s="6"/>
      <c r="H9" s="30"/>
      <c r="I9" s="8"/>
      <c r="J9" s="8"/>
      <c r="K9" s="8"/>
    </row>
    <row r="10" ht="15.75" customHeight="1">
      <c r="B10" s="31" t="s">
        <v>14</v>
      </c>
      <c r="C10" s="26">
        <v>0.0</v>
      </c>
      <c r="D10" s="42">
        <f>'Dia 0'!D10</f>
        <v>8.12</v>
      </c>
      <c r="E10" s="42">
        <f>'Dia 0'!E10</f>
        <v>0</v>
      </c>
      <c r="F10" s="42">
        <f>'Dia 0'!F10</f>
        <v>0</v>
      </c>
      <c r="G10" s="42">
        <f>'Dia 0'!H10</f>
        <v>0</v>
      </c>
      <c r="H10" s="42">
        <f>'Dia 0'!$M10</f>
        <v>-3.893</v>
      </c>
      <c r="I10" s="8"/>
      <c r="J10" s="8"/>
      <c r="K10" s="8"/>
    </row>
    <row r="11" ht="15.75" customHeight="1">
      <c r="B11" s="25"/>
      <c r="C11" s="26">
        <v>25.0</v>
      </c>
      <c r="D11" s="42">
        <f>'Dia 0'!D11</f>
        <v>9.68</v>
      </c>
      <c r="E11" s="42">
        <f>'Dia 0'!E11</f>
        <v>21.8</v>
      </c>
      <c r="F11" s="42">
        <f>'Dia 0'!F11</f>
        <v>4.38</v>
      </c>
      <c r="G11" s="42">
        <f>'Dia 0'!H11</f>
        <v>1260</v>
      </c>
      <c r="H11" s="42">
        <f>'Dia 0'!$M11</f>
        <v>423.5916625</v>
      </c>
    </row>
    <row r="12" ht="15.75" customHeight="1">
      <c r="B12" s="25"/>
      <c r="C12" s="26">
        <v>50.0</v>
      </c>
      <c r="D12" s="42">
        <f>'Dia 0'!D12</f>
        <v>9.57</v>
      </c>
      <c r="E12" s="42">
        <f>'Dia 0'!E12</f>
        <v>32.2</v>
      </c>
      <c r="F12" s="42">
        <f>'Dia 0'!F12</f>
        <v>8.31</v>
      </c>
      <c r="G12" s="42">
        <f>'Dia 0'!H12</f>
        <v>2440</v>
      </c>
      <c r="H12" s="42">
        <f>'Dia 0'!$M12</f>
        <v>977.2860825</v>
      </c>
    </row>
    <row r="13" ht="15.75" customHeight="1">
      <c r="B13" s="25"/>
      <c r="C13" s="26">
        <v>75.0</v>
      </c>
      <c r="D13" s="42">
        <f>'Dia 0'!D13</f>
        <v>9.5</v>
      </c>
      <c r="E13" s="42">
        <f>'Dia 0'!E13</f>
        <v>40.3</v>
      </c>
      <c r="F13" s="42">
        <f>'Dia 0'!F13</f>
        <v>12.39</v>
      </c>
      <c r="G13" s="42">
        <f>'Dia 0'!H13</f>
        <v>3740</v>
      </c>
      <c r="H13" s="42">
        <f>'Dia 0'!$M13</f>
        <v>1339.630225</v>
      </c>
    </row>
    <row r="14" ht="15.75" customHeight="1">
      <c r="B14" s="10"/>
      <c r="C14" s="28">
        <v>100.0</v>
      </c>
      <c r="D14" s="42">
        <f>'Dia 0'!D14</f>
        <v>9.46</v>
      </c>
      <c r="E14" s="42">
        <f>'Dia 0'!E14</f>
        <v>46.5</v>
      </c>
      <c r="F14" s="42">
        <f>'Dia 0'!F14</f>
        <v>16.02</v>
      </c>
      <c r="G14" s="42">
        <f>'Dia 0'!H14</f>
        <v>4920</v>
      </c>
      <c r="H14" s="42">
        <f>'Dia 0'!$M14</f>
        <v>1583.907175</v>
      </c>
    </row>
    <row r="15" ht="15.75" customHeight="1">
      <c r="B15" s="32"/>
      <c r="C15" s="10"/>
      <c r="D15" s="41"/>
      <c r="E15" s="6"/>
      <c r="F15" s="6"/>
      <c r="G15" s="6"/>
      <c r="H15" s="30"/>
    </row>
    <row r="16" ht="15.75" customHeight="1">
      <c r="B16" s="43" t="s">
        <v>18</v>
      </c>
      <c r="C16" s="26">
        <v>0.0</v>
      </c>
      <c r="D16" s="42">
        <f>'Dia 0'!D16</f>
        <v>8.12</v>
      </c>
      <c r="E16" s="42">
        <f>'Dia 0'!E16</f>
        <v>0</v>
      </c>
      <c r="F16" s="42">
        <f>'Dia 0'!F16</f>
        <v>0</v>
      </c>
      <c r="G16" s="42">
        <f>'Dia 0'!H16</f>
        <v>0</v>
      </c>
      <c r="H16" s="42">
        <f>'Dia 0'!$M18</f>
        <v>1005.78506</v>
      </c>
    </row>
    <row r="17" ht="15.75" customHeight="1">
      <c r="B17" s="25"/>
      <c r="C17" s="26">
        <v>25.0</v>
      </c>
      <c r="D17" s="42">
        <f>'Dia 0'!D17</f>
        <v>8.07</v>
      </c>
      <c r="E17" s="42">
        <f>'Dia 0'!E17</f>
        <v>22.9</v>
      </c>
      <c r="F17" s="42">
        <f>'Dia 0'!F17</f>
        <v>7.65</v>
      </c>
      <c r="G17" s="42">
        <f>'Dia 0'!H17</f>
        <v>1280</v>
      </c>
      <c r="H17" s="42">
        <f>'Dia 0'!$M19</f>
        <v>2219.027245</v>
      </c>
    </row>
    <row r="18" ht="15.75" customHeight="1">
      <c r="B18" s="25"/>
      <c r="C18" s="26">
        <v>50.0</v>
      </c>
      <c r="D18" s="42">
        <f>'Dia 0'!D18</f>
        <v>8.01</v>
      </c>
      <c r="E18" s="42">
        <f>'Dia 0'!E18</f>
        <v>39.9</v>
      </c>
      <c r="F18" s="42">
        <f>'Dia 0'!F18</f>
        <v>13.53</v>
      </c>
      <c r="G18" s="42">
        <f>'Dia 0'!H18</f>
        <v>2370</v>
      </c>
      <c r="H18" s="42">
        <f>'Dia 0'!$M20</f>
        <v>2430.733935</v>
      </c>
    </row>
    <row r="19" ht="15.75" customHeight="1">
      <c r="B19" s="25"/>
      <c r="C19" s="26">
        <v>75.0</v>
      </c>
      <c r="D19" s="42">
        <f>'Dia 0'!D19</f>
        <v>7.91</v>
      </c>
      <c r="E19" s="42">
        <f>'Dia 0'!E19</f>
        <v>142</v>
      </c>
      <c r="F19" s="42">
        <f>'Dia 0'!F19</f>
        <v>28.84</v>
      </c>
      <c r="G19" s="42">
        <f>'Dia 0'!H19</f>
        <v>5360</v>
      </c>
      <c r="H19" s="42" t="str">
        <f>'Dia 0'!$M21</f>
        <v/>
      </c>
    </row>
    <row r="20" ht="15.75" customHeight="1">
      <c r="B20" s="10"/>
      <c r="C20" s="28">
        <v>100.0</v>
      </c>
      <c r="D20" s="42">
        <f>'Dia 0'!D20</f>
        <v>7.91</v>
      </c>
      <c r="E20" s="42">
        <f>'Dia 0'!E20</f>
        <v>233</v>
      </c>
      <c r="F20" s="42">
        <f>'Dia 0'!F20</f>
        <v>31.9</v>
      </c>
      <c r="G20" s="42">
        <f>'Dia 0'!H20</f>
        <v>6520</v>
      </c>
      <c r="H20" s="42">
        <f>'Dia 0'!$M22</f>
        <v>-3.893</v>
      </c>
    </row>
    <row r="21" ht="15.75" customHeight="1">
      <c r="B21" s="18"/>
      <c r="C21" s="10"/>
      <c r="D21" s="41"/>
      <c r="E21" s="6"/>
      <c r="F21" s="6"/>
      <c r="G21" s="6"/>
      <c r="H21" s="30"/>
    </row>
    <row r="22" ht="15.75" customHeight="1">
      <c r="B22" s="36" t="s">
        <v>19</v>
      </c>
      <c r="C22" s="26">
        <v>0.0</v>
      </c>
      <c r="D22" s="42">
        <f>'Dia 0'!D22</f>
        <v>8.12</v>
      </c>
      <c r="E22" s="42">
        <f>'Dia 0'!E22</f>
        <v>0</v>
      </c>
      <c r="F22" s="42">
        <f>'Dia 0'!F22</f>
        <v>0</v>
      </c>
      <c r="G22" s="42">
        <f>'Dia 0'!H22</f>
        <v>0</v>
      </c>
      <c r="H22" s="42">
        <f>'Dia 0'!$M26</f>
        <v>2430.733935</v>
      </c>
    </row>
    <row r="23" ht="15.75" customHeight="1">
      <c r="B23" s="25"/>
      <c r="C23" s="26">
        <v>25.0</v>
      </c>
      <c r="D23" s="42">
        <f>'Dia 0'!D23</f>
        <v>8.07</v>
      </c>
      <c r="E23" s="42">
        <f>'Dia 0'!E23</f>
        <v>22.9</v>
      </c>
      <c r="F23" s="42">
        <f>'Dia 0'!F23</f>
        <v>7.65</v>
      </c>
      <c r="G23" s="42">
        <f>'Dia 0'!H23</f>
        <v>1280</v>
      </c>
      <c r="H23" s="42" t="str">
        <f>'Dia 0'!$M27</f>
        <v/>
      </c>
    </row>
    <row r="24" ht="15.75" customHeight="1">
      <c r="B24" s="25"/>
      <c r="C24" s="26">
        <v>50.0</v>
      </c>
      <c r="D24" s="42">
        <f>'Dia 0'!D24</f>
        <v>8.01</v>
      </c>
      <c r="E24" s="42">
        <f>'Dia 0'!E24</f>
        <v>39.9</v>
      </c>
      <c r="F24" s="42">
        <f>'Dia 0'!F24</f>
        <v>13.53</v>
      </c>
      <c r="G24" s="42">
        <f>'Dia 0'!H24</f>
        <v>2370</v>
      </c>
      <c r="H24" s="42" t="str">
        <f>'Dia 0'!$M28</f>
        <v/>
      </c>
    </row>
    <row r="25" ht="15.75" customHeight="1">
      <c r="B25" s="25"/>
      <c r="C25" s="26">
        <v>75.0</v>
      </c>
      <c r="D25" s="42">
        <f>'Dia 0'!D25</f>
        <v>7.91</v>
      </c>
      <c r="E25" s="42">
        <f>'Dia 0'!E25</f>
        <v>142</v>
      </c>
      <c r="F25" s="42">
        <f>'Dia 0'!F25</f>
        <v>28.84</v>
      </c>
      <c r="G25" s="42">
        <f>'Dia 0'!H25</f>
        <v>5360</v>
      </c>
      <c r="H25" s="42" t="str">
        <f>'Dia 0'!$M29</f>
        <v/>
      </c>
    </row>
    <row r="26" ht="15.75" customHeight="1">
      <c r="B26" s="10"/>
      <c r="C26" s="28">
        <v>100.0</v>
      </c>
      <c r="D26" s="42">
        <f>'Dia 0'!D26</f>
        <v>7.91</v>
      </c>
      <c r="E26" s="42">
        <f>'Dia 0'!E26</f>
        <v>233</v>
      </c>
      <c r="F26" s="42">
        <f>'Dia 0'!F26</f>
        <v>31.9</v>
      </c>
      <c r="G26" s="42">
        <f>'Dia 0'!H26</f>
        <v>6520</v>
      </c>
      <c r="H26" s="42" t="str">
        <f>'Dia 0'!$M30</f>
        <v/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6">
    <mergeCell ref="B2:C3"/>
    <mergeCell ref="D2:D3"/>
    <mergeCell ref="E2:E3"/>
    <mergeCell ref="F2:F3"/>
    <mergeCell ref="G2:G3"/>
    <mergeCell ref="H2:H3"/>
    <mergeCell ref="B4:B8"/>
    <mergeCell ref="B16:B20"/>
    <mergeCell ref="B22:B26"/>
    <mergeCell ref="B9:C9"/>
    <mergeCell ref="D9:H9"/>
    <mergeCell ref="B10:B14"/>
    <mergeCell ref="B15:C15"/>
    <mergeCell ref="D15:H15"/>
    <mergeCell ref="B21:C21"/>
    <mergeCell ref="D21:H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0"/>
  <cols>
    <col customWidth="1" min="1" max="1" width="0.63"/>
    <col customWidth="1" min="5" max="5" width="14.63"/>
    <col customWidth="1" min="6" max="6" width="20.63"/>
  </cols>
  <sheetData>
    <row r="1" ht="5.25" customHeight="1">
      <c r="A1" s="1" t="s">
        <v>17</v>
      </c>
    </row>
    <row r="2" ht="15.75" customHeight="1">
      <c r="B2" s="2" t="s">
        <v>1</v>
      </c>
      <c r="C2" s="3"/>
      <c r="D2" s="4" t="s">
        <v>2</v>
      </c>
      <c r="E2" s="4" t="s">
        <v>3</v>
      </c>
      <c r="F2" s="4" t="s">
        <v>4</v>
      </c>
      <c r="G2" s="5" t="s">
        <v>5</v>
      </c>
      <c r="H2" s="6"/>
      <c r="I2" s="7" t="s">
        <v>6</v>
      </c>
      <c r="J2" s="6"/>
      <c r="K2" s="6"/>
      <c r="L2" s="6"/>
      <c r="M2" s="6"/>
      <c r="N2" s="8"/>
      <c r="O2" s="8"/>
      <c r="P2" s="8"/>
    </row>
    <row r="3" ht="15.75" customHeight="1">
      <c r="B3" s="9"/>
      <c r="C3" s="10"/>
      <c r="D3" s="11"/>
      <c r="E3" s="11"/>
      <c r="F3" s="11"/>
      <c r="G3" s="12" t="s">
        <v>7</v>
      </c>
      <c r="H3" s="5" t="s">
        <v>8</v>
      </c>
      <c r="I3" s="13" t="s">
        <v>20</v>
      </c>
      <c r="J3" s="14" t="s">
        <v>21</v>
      </c>
      <c r="K3" s="15" t="s">
        <v>11</v>
      </c>
      <c r="L3" s="15" t="s">
        <v>8</v>
      </c>
      <c r="M3" s="16" t="s">
        <v>12</v>
      </c>
      <c r="N3" s="8"/>
      <c r="O3" s="8"/>
      <c r="P3" s="8"/>
    </row>
    <row r="4" ht="15.75" customHeight="1">
      <c r="B4" s="17" t="s">
        <v>13</v>
      </c>
      <c r="C4" s="18">
        <v>0.0</v>
      </c>
      <c r="D4" s="19">
        <v>7.85</v>
      </c>
      <c r="E4" s="19">
        <v>8.67</v>
      </c>
      <c r="F4" s="19">
        <v>44.1</v>
      </c>
      <c r="G4" s="19">
        <v>96.0</v>
      </c>
      <c r="H4" s="20">
        <f>G4</f>
        <v>96</v>
      </c>
      <c r="I4" s="21">
        <v>0.06</v>
      </c>
      <c r="J4" s="22">
        <v>0.048</v>
      </c>
      <c r="K4" s="44">
        <f t="shared" ref="K4:K8" si="1">AVERAGE(I4:J4)</f>
        <v>0.054</v>
      </c>
      <c r="L4" s="44">
        <f>K4</f>
        <v>0.054</v>
      </c>
      <c r="M4" s="45">
        <f t="shared" ref="M4:M8" si="2">(814.2565*L4) - 3.893</f>
        <v>40.076851</v>
      </c>
      <c r="N4" s="8"/>
      <c r="O4" s="8"/>
      <c r="P4" s="8"/>
    </row>
    <row r="5" ht="15.75" customHeight="1">
      <c r="B5" s="25"/>
      <c r="C5" s="26">
        <v>25.0</v>
      </c>
      <c r="D5" s="19">
        <v>9.09</v>
      </c>
      <c r="E5" s="19">
        <v>24.4</v>
      </c>
      <c r="F5" s="19">
        <v>4.35</v>
      </c>
      <c r="G5" s="19">
        <v>107.0</v>
      </c>
      <c r="H5" s="20">
        <f>G5*5</f>
        <v>535</v>
      </c>
      <c r="I5" s="21">
        <v>0.106</v>
      </c>
      <c r="J5" s="22">
        <v>0.096</v>
      </c>
      <c r="K5" s="44">
        <f t="shared" si="1"/>
        <v>0.101</v>
      </c>
      <c r="L5" s="44">
        <f>K5*5</f>
        <v>0.505</v>
      </c>
      <c r="M5" s="45">
        <f t="shared" si="2"/>
        <v>407.3065325</v>
      </c>
      <c r="N5" s="8"/>
      <c r="O5" s="8"/>
      <c r="P5" s="8"/>
    </row>
    <row r="6" ht="15.75" customHeight="1">
      <c r="B6" s="25"/>
      <c r="C6" s="26">
        <v>50.0</v>
      </c>
      <c r="D6" s="27">
        <v>90.9</v>
      </c>
      <c r="E6" s="27">
        <v>36.3</v>
      </c>
      <c r="F6" s="27">
        <v>8.46</v>
      </c>
      <c r="G6" s="27">
        <v>205.0</v>
      </c>
      <c r="H6" s="20">
        <f t="shared" ref="H6:H8" si="3">G6*10</f>
        <v>2050</v>
      </c>
      <c r="I6" s="22">
        <v>0.124</v>
      </c>
      <c r="J6" s="22">
        <v>0.113</v>
      </c>
      <c r="K6" s="44">
        <f t="shared" si="1"/>
        <v>0.1185</v>
      </c>
      <c r="L6" s="44">
        <f t="shared" ref="L6:L8" si="4">K6*10</f>
        <v>1.185</v>
      </c>
      <c r="M6" s="45">
        <f t="shared" si="2"/>
        <v>961.0009525</v>
      </c>
      <c r="N6" s="8"/>
      <c r="O6" s="8"/>
      <c r="P6" s="8"/>
    </row>
    <row r="7" ht="15.75" customHeight="1">
      <c r="B7" s="25"/>
      <c r="C7" s="26">
        <v>75.0</v>
      </c>
      <c r="D7" s="27">
        <v>9.12</v>
      </c>
      <c r="E7" s="27">
        <v>47.6</v>
      </c>
      <c r="F7" s="27">
        <v>12.08</v>
      </c>
      <c r="G7" s="27">
        <v>162.0</v>
      </c>
      <c r="H7" s="20">
        <f t="shared" si="3"/>
        <v>1620</v>
      </c>
      <c r="I7" s="22">
        <v>0.078</v>
      </c>
      <c r="J7" s="22">
        <v>0.074</v>
      </c>
      <c r="K7" s="44">
        <f t="shared" si="1"/>
        <v>0.076</v>
      </c>
      <c r="L7" s="44">
        <f t="shared" si="4"/>
        <v>0.76</v>
      </c>
      <c r="M7" s="45">
        <f t="shared" si="2"/>
        <v>614.94194</v>
      </c>
      <c r="N7" s="8"/>
      <c r="O7" s="8"/>
      <c r="P7" s="8"/>
    </row>
    <row r="8" ht="15.75" customHeight="1">
      <c r="B8" s="10"/>
      <c r="C8" s="28">
        <v>100.0</v>
      </c>
      <c r="D8" s="27">
        <v>9.15</v>
      </c>
      <c r="E8" s="27">
        <v>56.5</v>
      </c>
      <c r="F8" s="27">
        <v>14.9</v>
      </c>
      <c r="G8" s="27">
        <v>205.0</v>
      </c>
      <c r="H8" s="20">
        <f t="shared" si="3"/>
        <v>2050</v>
      </c>
      <c r="I8" s="22">
        <v>0.1</v>
      </c>
      <c r="J8" s="22">
        <v>0.103</v>
      </c>
      <c r="K8" s="44">
        <f t="shared" si="1"/>
        <v>0.1015</v>
      </c>
      <c r="L8" s="44">
        <f t="shared" si="4"/>
        <v>1.015</v>
      </c>
      <c r="M8" s="45">
        <f t="shared" si="2"/>
        <v>822.5773475</v>
      </c>
      <c r="N8" s="8"/>
      <c r="O8" s="8"/>
      <c r="P8" s="8"/>
    </row>
    <row r="9" ht="15.75" customHeight="1">
      <c r="B9" s="18"/>
      <c r="C9" s="10"/>
      <c r="D9" s="29"/>
      <c r="E9" s="6"/>
      <c r="F9" s="6"/>
      <c r="G9" s="6"/>
      <c r="H9" s="6"/>
      <c r="I9" s="6"/>
      <c r="J9" s="6"/>
      <c r="K9" s="6"/>
      <c r="L9" s="6"/>
      <c r="M9" s="30"/>
      <c r="N9" s="8"/>
      <c r="O9" s="8"/>
      <c r="P9" s="8"/>
    </row>
    <row r="10" ht="15.75" customHeight="1">
      <c r="B10" s="31" t="s">
        <v>14</v>
      </c>
      <c r="C10" s="26">
        <v>0.0</v>
      </c>
      <c r="D10" s="27">
        <v>7.77</v>
      </c>
      <c r="E10" s="27">
        <v>1.88</v>
      </c>
      <c r="F10" s="27">
        <v>52.5</v>
      </c>
      <c r="G10" s="27">
        <v>17.0</v>
      </c>
      <c r="H10" s="34">
        <f>G10</f>
        <v>17</v>
      </c>
      <c r="I10" s="22">
        <v>0.02</v>
      </c>
      <c r="J10" s="22">
        <v>0.013</v>
      </c>
      <c r="K10" s="44">
        <f t="shared" ref="K10:K14" si="5">AVERAGE(I10:J10)</f>
        <v>0.0165</v>
      </c>
      <c r="L10" s="44">
        <f>K10</f>
        <v>0.0165</v>
      </c>
      <c r="M10" s="45">
        <f t="shared" ref="M10:M14" si="6">(814.2565*L10) - 3.893</f>
        <v>9.54223225</v>
      </c>
      <c r="N10" s="8"/>
      <c r="O10" s="8"/>
      <c r="P10" s="8"/>
    </row>
    <row r="11" ht="15.75" customHeight="1">
      <c r="B11" s="25"/>
      <c r="C11" s="26">
        <v>25.0</v>
      </c>
      <c r="D11" s="27">
        <v>8.98</v>
      </c>
      <c r="E11" s="27">
        <v>23.5</v>
      </c>
      <c r="F11" s="27">
        <v>4.14</v>
      </c>
      <c r="G11" s="27">
        <v>98.0</v>
      </c>
      <c r="H11" s="34">
        <f>G11*5</f>
        <v>490</v>
      </c>
      <c r="I11" s="22">
        <v>0.091</v>
      </c>
      <c r="J11" s="22">
        <v>0.09</v>
      </c>
      <c r="K11" s="44">
        <f t="shared" si="5"/>
        <v>0.0905</v>
      </c>
      <c r="L11" s="44">
        <f>K11*5</f>
        <v>0.4525</v>
      </c>
      <c r="M11" s="45">
        <f t="shared" si="6"/>
        <v>364.5580663</v>
      </c>
    </row>
    <row r="12" ht="15.75" customHeight="1">
      <c r="B12" s="25"/>
      <c r="C12" s="26">
        <v>50.0</v>
      </c>
      <c r="D12" s="27">
        <v>9.1</v>
      </c>
      <c r="E12" s="27">
        <v>39.9</v>
      </c>
      <c r="F12" s="27">
        <v>8.44</v>
      </c>
      <c r="G12" s="27">
        <v>212.0</v>
      </c>
      <c r="H12" s="34">
        <f t="shared" ref="H12:H14" si="7">G12*10</f>
        <v>2120</v>
      </c>
      <c r="I12" s="22">
        <v>0.103</v>
      </c>
      <c r="J12" s="22">
        <v>0.104</v>
      </c>
      <c r="K12" s="44">
        <f t="shared" si="5"/>
        <v>0.1035</v>
      </c>
      <c r="L12" s="44">
        <f t="shared" ref="L12:L14" si="8">K12*10</f>
        <v>1.035</v>
      </c>
      <c r="M12" s="45">
        <f t="shared" si="6"/>
        <v>838.8624775</v>
      </c>
    </row>
    <row r="13" ht="15.75" customHeight="1">
      <c r="B13" s="25"/>
      <c r="C13" s="26">
        <v>75.0</v>
      </c>
      <c r="D13" s="27">
        <v>9.13</v>
      </c>
      <c r="E13" s="27">
        <v>53.4</v>
      </c>
      <c r="F13" s="27">
        <v>12.03</v>
      </c>
      <c r="G13" s="27">
        <v>172.0</v>
      </c>
      <c r="H13" s="34">
        <f t="shared" si="7"/>
        <v>1720</v>
      </c>
      <c r="I13" s="22">
        <v>0.072</v>
      </c>
      <c r="J13" s="22">
        <v>0.084</v>
      </c>
      <c r="K13" s="44">
        <f t="shared" si="5"/>
        <v>0.078</v>
      </c>
      <c r="L13" s="44">
        <f t="shared" si="8"/>
        <v>0.78</v>
      </c>
      <c r="M13" s="45">
        <f t="shared" si="6"/>
        <v>631.22707</v>
      </c>
    </row>
    <row r="14" ht="15.75" customHeight="1">
      <c r="B14" s="10"/>
      <c r="C14" s="28">
        <v>100.0</v>
      </c>
      <c r="D14" s="27">
        <v>9.16</v>
      </c>
      <c r="E14" s="27">
        <v>62.0</v>
      </c>
      <c r="F14" s="27">
        <v>15.2</v>
      </c>
      <c r="G14" s="27">
        <v>211.0</v>
      </c>
      <c r="H14" s="34">
        <f t="shared" si="7"/>
        <v>2110</v>
      </c>
      <c r="I14" s="22">
        <v>0.099</v>
      </c>
      <c r="J14" s="22">
        <v>0.098</v>
      </c>
      <c r="K14" s="44">
        <f t="shared" si="5"/>
        <v>0.0985</v>
      </c>
      <c r="L14" s="44">
        <f t="shared" si="8"/>
        <v>0.985</v>
      </c>
      <c r="M14" s="45">
        <f t="shared" si="6"/>
        <v>798.1496525</v>
      </c>
    </row>
    <row r="15" ht="15.75" customHeight="1">
      <c r="B15" s="32"/>
      <c r="C15" s="10"/>
      <c r="D15" s="29"/>
      <c r="E15" s="6"/>
      <c r="F15" s="6"/>
      <c r="G15" s="6"/>
      <c r="H15" s="6"/>
      <c r="I15" s="6"/>
      <c r="J15" s="6"/>
      <c r="K15" s="6"/>
      <c r="L15" s="6"/>
      <c r="M15" s="30"/>
    </row>
    <row r="16" ht="15.75" customHeight="1">
      <c r="B16" s="33" t="s">
        <v>15</v>
      </c>
      <c r="C16" s="26">
        <v>0.0</v>
      </c>
      <c r="D16" s="27">
        <v>7.85</v>
      </c>
      <c r="E16" s="27">
        <v>8.67</v>
      </c>
      <c r="F16" s="27">
        <v>44.1</v>
      </c>
      <c r="G16" s="27">
        <v>96.0</v>
      </c>
      <c r="H16" s="34">
        <f>G16</f>
        <v>96</v>
      </c>
      <c r="I16" s="22">
        <v>0.055</v>
      </c>
      <c r="J16" s="22">
        <v>0.064</v>
      </c>
      <c r="K16" s="44">
        <f t="shared" ref="K16:K20" si="9">AVERAGE(I16:J16)</f>
        <v>0.0595</v>
      </c>
      <c r="L16" s="44">
        <f>K16</f>
        <v>0.0595</v>
      </c>
      <c r="M16" s="45">
        <f t="shared" ref="M16:M20" si="10">(814.2565*L16) - 3.893</f>
        <v>44.55526175</v>
      </c>
    </row>
    <row r="17" ht="15.75" customHeight="1">
      <c r="B17" s="25"/>
      <c r="C17" s="26">
        <v>25.0</v>
      </c>
      <c r="D17" s="27">
        <v>8.97</v>
      </c>
      <c r="E17" s="27">
        <v>46.6</v>
      </c>
      <c r="F17" s="27">
        <v>6.6</v>
      </c>
      <c r="G17" s="27">
        <v>177.0</v>
      </c>
      <c r="H17" s="34">
        <f>G17*5</f>
        <v>885</v>
      </c>
      <c r="I17" s="22">
        <v>0.135</v>
      </c>
      <c r="J17" s="22">
        <v>0.13</v>
      </c>
      <c r="K17" s="44">
        <f t="shared" si="9"/>
        <v>0.1325</v>
      </c>
      <c r="L17" s="44">
        <f>K17*5</f>
        <v>0.6625</v>
      </c>
      <c r="M17" s="45">
        <f t="shared" si="10"/>
        <v>535.5519313</v>
      </c>
    </row>
    <row r="18" ht="15.75" customHeight="1">
      <c r="B18" s="25"/>
      <c r="C18" s="26">
        <v>50.0</v>
      </c>
      <c r="D18" s="27">
        <v>9.02</v>
      </c>
      <c r="E18" s="27">
        <v>83.4</v>
      </c>
      <c r="F18" s="27">
        <v>13.75</v>
      </c>
      <c r="G18" s="27">
        <v>364.0</v>
      </c>
      <c r="H18" s="34">
        <f t="shared" ref="H18:H19" si="11">G18*10</f>
        <v>3640</v>
      </c>
      <c r="I18" s="22">
        <v>0.143</v>
      </c>
      <c r="J18" s="22">
        <v>0.138</v>
      </c>
      <c r="K18" s="44">
        <f t="shared" si="9"/>
        <v>0.1405</v>
      </c>
      <c r="L18" s="44">
        <f t="shared" ref="L18:L20" si="12">K18*10</f>
        <v>1.405</v>
      </c>
      <c r="M18" s="45">
        <f t="shared" si="10"/>
        <v>1140.137383</v>
      </c>
    </row>
    <row r="19" ht="15.75" customHeight="1">
      <c r="B19" s="25"/>
      <c r="C19" s="26">
        <v>75.0</v>
      </c>
      <c r="D19" s="27">
        <v>9.01</v>
      </c>
      <c r="E19" s="27">
        <v>72.1</v>
      </c>
      <c r="F19" s="27">
        <v>15.7</v>
      </c>
      <c r="G19" s="27">
        <v>207.0</v>
      </c>
      <c r="H19" s="34">
        <f t="shared" si="11"/>
        <v>2070</v>
      </c>
      <c r="I19" s="22">
        <v>0.083</v>
      </c>
      <c r="J19" s="22">
        <v>0.079</v>
      </c>
      <c r="K19" s="44">
        <f t="shared" si="9"/>
        <v>0.081</v>
      </c>
      <c r="L19" s="44">
        <f t="shared" si="12"/>
        <v>0.81</v>
      </c>
      <c r="M19" s="45">
        <f t="shared" si="10"/>
        <v>655.654765</v>
      </c>
    </row>
    <row r="20" ht="15.75" customHeight="1">
      <c r="B20" s="10"/>
      <c r="C20" s="28">
        <v>100.0</v>
      </c>
      <c r="D20" s="27">
        <v>8.96</v>
      </c>
      <c r="E20" s="27">
        <v>184.0</v>
      </c>
      <c r="F20" s="27">
        <v>23.44</v>
      </c>
      <c r="G20" s="27">
        <v>347.0</v>
      </c>
      <c r="H20" s="34">
        <f>G20*20</f>
        <v>6940</v>
      </c>
      <c r="I20" s="22">
        <v>0.141</v>
      </c>
      <c r="J20" s="22">
        <v>0.157</v>
      </c>
      <c r="K20" s="44">
        <f t="shared" si="9"/>
        <v>0.149</v>
      </c>
      <c r="L20" s="44">
        <f t="shared" si="12"/>
        <v>1.49</v>
      </c>
      <c r="M20" s="45">
        <f t="shared" si="10"/>
        <v>1209.349185</v>
      </c>
    </row>
    <row r="21" ht="15.75" customHeight="1">
      <c r="B21" s="18"/>
      <c r="C21" s="10"/>
      <c r="D21" s="29"/>
      <c r="E21" s="6"/>
      <c r="F21" s="6"/>
      <c r="G21" s="6"/>
      <c r="H21" s="6"/>
      <c r="I21" s="6"/>
      <c r="J21" s="6"/>
      <c r="K21" s="6"/>
      <c r="L21" s="6"/>
      <c r="M21" s="30"/>
    </row>
    <row r="22" ht="15.75" customHeight="1">
      <c r="B22" s="46" t="s">
        <v>16</v>
      </c>
      <c r="C22" s="26">
        <v>0.0</v>
      </c>
      <c r="D22" s="27">
        <v>7.77</v>
      </c>
      <c r="E22" s="27">
        <v>1.88</v>
      </c>
      <c r="F22" s="27">
        <v>52.5</v>
      </c>
      <c r="G22" s="27">
        <v>17.0</v>
      </c>
      <c r="H22" s="34">
        <f>G22</f>
        <v>17</v>
      </c>
      <c r="I22" s="22">
        <v>0.034</v>
      </c>
      <c r="J22" s="22">
        <v>0.014</v>
      </c>
      <c r="K22" s="44">
        <f t="shared" ref="K22:K26" si="13">AVERAGE(I22:J22)</f>
        <v>0.024</v>
      </c>
      <c r="L22" s="44">
        <f>K22</f>
        <v>0.024</v>
      </c>
      <c r="M22" s="45">
        <f t="shared" ref="M22:M26" si="14">(814.2565*L22) - 3.893</f>
        <v>15.649156</v>
      </c>
    </row>
    <row r="23" ht="15.75" customHeight="1">
      <c r="B23" s="25"/>
      <c r="C23" s="26">
        <v>25.0</v>
      </c>
      <c r="D23" s="27" t="s">
        <v>22</v>
      </c>
      <c r="E23" s="27">
        <v>38.7</v>
      </c>
      <c r="F23" s="27">
        <v>6.63</v>
      </c>
      <c r="G23" s="27">
        <v>164.0</v>
      </c>
      <c r="H23" s="34">
        <f>G23*5</f>
        <v>820</v>
      </c>
      <c r="I23" s="22">
        <v>0.132</v>
      </c>
      <c r="J23" s="22">
        <v>0.122</v>
      </c>
      <c r="K23" s="44">
        <f t="shared" si="13"/>
        <v>0.127</v>
      </c>
      <c r="L23" s="44">
        <f>K23*5</f>
        <v>0.635</v>
      </c>
      <c r="M23" s="45">
        <f t="shared" si="14"/>
        <v>513.1598775</v>
      </c>
    </row>
    <row r="24" ht="15.75" customHeight="1">
      <c r="B24" s="25"/>
      <c r="C24" s="26">
        <v>50.0</v>
      </c>
      <c r="D24" s="27">
        <v>9.02</v>
      </c>
      <c r="E24" s="27">
        <v>84.3</v>
      </c>
      <c r="F24" s="27">
        <v>13.9</v>
      </c>
      <c r="G24" s="27">
        <v>380.0</v>
      </c>
      <c r="H24" s="34">
        <f t="shared" ref="H24:H26" si="15">G24*10</f>
        <v>3800</v>
      </c>
      <c r="I24" s="22">
        <v>0.153</v>
      </c>
      <c r="J24" s="22">
        <v>0.147</v>
      </c>
      <c r="K24" s="44">
        <f t="shared" si="13"/>
        <v>0.15</v>
      </c>
      <c r="L24" s="44">
        <f t="shared" ref="L24:L26" si="16">K24*10</f>
        <v>1.5</v>
      </c>
      <c r="M24" s="45">
        <f t="shared" si="14"/>
        <v>1217.49175</v>
      </c>
    </row>
    <row r="25" ht="15.75" customHeight="1">
      <c r="B25" s="25"/>
      <c r="C25" s="26">
        <v>75.0</v>
      </c>
      <c r="D25" s="27">
        <v>9.01</v>
      </c>
      <c r="E25" s="27">
        <v>95.3</v>
      </c>
      <c r="F25" s="27">
        <v>20.87</v>
      </c>
      <c r="G25" s="27">
        <v>278.0</v>
      </c>
      <c r="H25" s="34">
        <f t="shared" si="15"/>
        <v>2780</v>
      </c>
      <c r="I25" s="22">
        <v>0.126</v>
      </c>
      <c r="J25" s="22">
        <v>0.133</v>
      </c>
      <c r="K25" s="44">
        <f t="shared" si="13"/>
        <v>0.1295</v>
      </c>
      <c r="L25" s="44">
        <f t="shared" si="16"/>
        <v>1.295</v>
      </c>
      <c r="M25" s="45">
        <f t="shared" si="14"/>
        <v>1050.569168</v>
      </c>
    </row>
    <row r="26" ht="15.75" customHeight="1">
      <c r="B26" s="10"/>
      <c r="C26" s="28">
        <v>100.0</v>
      </c>
      <c r="D26" s="27">
        <v>9.0</v>
      </c>
      <c r="E26" s="27">
        <v>96.7</v>
      </c>
      <c r="F26" s="27">
        <v>20.91</v>
      </c>
      <c r="G26" s="27">
        <v>289.0</v>
      </c>
      <c r="H26" s="34">
        <f t="shared" si="15"/>
        <v>2890</v>
      </c>
      <c r="I26" s="22">
        <v>0.129</v>
      </c>
      <c r="J26" s="22">
        <v>0.129</v>
      </c>
      <c r="K26" s="44">
        <f t="shared" si="13"/>
        <v>0.129</v>
      </c>
      <c r="L26" s="44">
        <f t="shared" si="16"/>
        <v>1.29</v>
      </c>
      <c r="M26" s="45">
        <f t="shared" si="14"/>
        <v>1046.497885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6">
    <mergeCell ref="B2:C3"/>
    <mergeCell ref="D2:D3"/>
    <mergeCell ref="E2:E3"/>
    <mergeCell ref="F2:F3"/>
    <mergeCell ref="G2:H2"/>
    <mergeCell ref="I2:M2"/>
    <mergeCell ref="B4:B8"/>
    <mergeCell ref="B16:B20"/>
    <mergeCell ref="B22:B26"/>
    <mergeCell ref="B9:C9"/>
    <mergeCell ref="D9:M9"/>
    <mergeCell ref="B10:B14"/>
    <mergeCell ref="B15:C15"/>
    <mergeCell ref="D15:M15"/>
    <mergeCell ref="B21:C21"/>
    <mergeCell ref="D21:M2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0"/>
  <cols>
    <col customWidth="1" min="1" max="1" width="0.63"/>
    <col customWidth="1" min="5" max="5" width="14.63"/>
    <col customWidth="1" min="6" max="6" width="20.63"/>
  </cols>
  <sheetData>
    <row r="1" ht="5.25" customHeight="1">
      <c r="A1" s="1" t="s">
        <v>17</v>
      </c>
    </row>
    <row r="2" ht="15.75" customHeight="1">
      <c r="B2" s="2" t="s">
        <v>1</v>
      </c>
      <c r="C2" s="3"/>
      <c r="D2" s="4" t="s">
        <v>2</v>
      </c>
      <c r="E2" s="4" t="s">
        <v>3</v>
      </c>
      <c r="F2" s="4" t="s">
        <v>4</v>
      </c>
      <c r="G2" s="37" t="s">
        <v>5</v>
      </c>
      <c r="H2" s="38" t="s">
        <v>6</v>
      </c>
      <c r="I2" s="8"/>
      <c r="J2" s="8"/>
      <c r="K2" s="8"/>
    </row>
    <row r="3" ht="15.75" customHeight="1">
      <c r="B3" s="9"/>
      <c r="C3" s="10"/>
      <c r="D3" s="11"/>
      <c r="E3" s="11"/>
      <c r="F3" s="11"/>
      <c r="G3" s="39"/>
      <c r="H3" s="11"/>
      <c r="I3" s="8"/>
      <c r="J3" s="8"/>
      <c r="K3" s="8"/>
    </row>
    <row r="4" ht="15.75" customHeight="1">
      <c r="B4" s="17" t="s">
        <v>13</v>
      </c>
      <c r="C4" s="18">
        <v>0.0</v>
      </c>
      <c r="D4" s="40">
        <f>'Dia 7'!D4</f>
        <v>7.85</v>
      </c>
      <c r="E4" s="40">
        <f>'Dia 7'!E4</f>
        <v>8.67</v>
      </c>
      <c r="F4" s="40">
        <f>'Dia 7'!F4</f>
        <v>44.1</v>
      </c>
      <c r="G4" s="40">
        <f>'Dia 7'!H4</f>
        <v>96</v>
      </c>
      <c r="H4" s="40">
        <f>'Dia 7'!M4</f>
        <v>40.076851</v>
      </c>
      <c r="I4" s="8"/>
      <c r="J4" s="8"/>
      <c r="K4" s="8"/>
    </row>
    <row r="5" ht="15.75" customHeight="1">
      <c r="B5" s="25"/>
      <c r="C5" s="26">
        <v>25.0</v>
      </c>
      <c r="D5" s="40">
        <f>'Dia 7'!D5</f>
        <v>9.09</v>
      </c>
      <c r="E5" s="40">
        <f>'Dia 7'!E5</f>
        <v>24.4</v>
      </c>
      <c r="F5" s="40">
        <f>'Dia 7'!F5</f>
        <v>4.35</v>
      </c>
      <c r="G5" s="40">
        <f>'Dia 7'!H5</f>
        <v>535</v>
      </c>
      <c r="H5" s="40">
        <f>'Dia 7'!M5</f>
        <v>407.3065325</v>
      </c>
      <c r="I5" s="8"/>
      <c r="J5" s="8"/>
      <c r="K5" s="8"/>
    </row>
    <row r="6" ht="15.75" customHeight="1">
      <c r="B6" s="25"/>
      <c r="C6" s="26">
        <v>50.0</v>
      </c>
      <c r="D6" s="40">
        <f>'Dia 7'!D6</f>
        <v>90.9</v>
      </c>
      <c r="E6" s="40">
        <f>'Dia 7'!E6</f>
        <v>36.3</v>
      </c>
      <c r="F6" s="40">
        <f>'Dia 7'!F6</f>
        <v>8.46</v>
      </c>
      <c r="G6" s="40">
        <f>'Dia 7'!H6</f>
        <v>2050</v>
      </c>
      <c r="H6" s="40">
        <f>'Dia 7'!M6</f>
        <v>961.0009525</v>
      </c>
      <c r="I6" s="8"/>
      <c r="J6" s="8"/>
      <c r="K6" s="8"/>
    </row>
    <row r="7" ht="15.75" customHeight="1">
      <c r="B7" s="25"/>
      <c r="C7" s="26">
        <v>75.0</v>
      </c>
      <c r="D7" s="40">
        <f>'Dia 7'!D7</f>
        <v>9.12</v>
      </c>
      <c r="E7" s="40">
        <f>'Dia 7'!E7</f>
        <v>47.6</v>
      </c>
      <c r="F7" s="40">
        <f>'Dia 7'!F7</f>
        <v>12.08</v>
      </c>
      <c r="G7" s="40">
        <f>'Dia 7'!H7</f>
        <v>1620</v>
      </c>
      <c r="H7" s="40">
        <f>'Dia 7'!M7</f>
        <v>614.94194</v>
      </c>
      <c r="I7" s="8"/>
      <c r="J7" s="8"/>
      <c r="K7" s="8"/>
    </row>
    <row r="8" ht="15.75" customHeight="1">
      <c r="B8" s="10"/>
      <c r="C8" s="28">
        <v>100.0</v>
      </c>
      <c r="D8" s="40">
        <f>'Dia 7'!D8</f>
        <v>9.15</v>
      </c>
      <c r="E8" s="40">
        <f>'Dia 7'!E8</f>
        <v>56.5</v>
      </c>
      <c r="F8" s="40">
        <f>'Dia 7'!F8</f>
        <v>14.9</v>
      </c>
      <c r="G8" s="40">
        <f>'Dia 7'!H8</f>
        <v>2050</v>
      </c>
      <c r="H8" s="40">
        <f>'Dia 7'!M8</f>
        <v>822.5773475</v>
      </c>
      <c r="I8" s="8"/>
      <c r="J8" s="8"/>
      <c r="K8" s="8"/>
    </row>
    <row r="9" ht="15.75" customHeight="1">
      <c r="B9" s="18"/>
      <c r="C9" s="10"/>
      <c r="D9" s="41"/>
      <c r="E9" s="6"/>
      <c r="F9" s="6"/>
      <c r="G9" s="6"/>
      <c r="H9" s="30"/>
      <c r="I9" s="8"/>
      <c r="J9" s="8"/>
      <c r="K9" s="8"/>
    </row>
    <row r="10" ht="15.75" customHeight="1">
      <c r="B10" s="31" t="s">
        <v>14</v>
      </c>
      <c r="C10" s="26">
        <v>0.0</v>
      </c>
      <c r="D10" s="42">
        <f>'Dia 7'!D10</f>
        <v>7.77</v>
      </c>
      <c r="E10" s="42">
        <f>'Dia 7'!E10</f>
        <v>1.88</v>
      </c>
      <c r="F10" s="42">
        <f>'Dia 7'!F10</f>
        <v>52.5</v>
      </c>
      <c r="G10" s="42">
        <f>'Dia 7'!H10</f>
        <v>17</v>
      </c>
      <c r="H10" s="42">
        <f>'Dia 7'!M10</f>
        <v>9.54223225</v>
      </c>
      <c r="I10" s="8"/>
      <c r="J10" s="8"/>
      <c r="K10" s="8"/>
    </row>
    <row r="11" ht="15.75" customHeight="1">
      <c r="B11" s="25"/>
      <c r="C11" s="26">
        <v>25.0</v>
      </c>
      <c r="D11" s="42">
        <f>'Dia 7'!D11</f>
        <v>8.98</v>
      </c>
      <c r="E11" s="42">
        <f>'Dia 7'!E11</f>
        <v>23.5</v>
      </c>
      <c r="F11" s="42">
        <f>'Dia 7'!F11</f>
        <v>4.14</v>
      </c>
      <c r="G11" s="42">
        <f>'Dia 7'!H11</f>
        <v>490</v>
      </c>
      <c r="H11" s="42">
        <f>'Dia 7'!M11</f>
        <v>364.5580663</v>
      </c>
    </row>
    <row r="12" ht="15.75" customHeight="1">
      <c r="B12" s="25"/>
      <c r="C12" s="26">
        <v>50.0</v>
      </c>
      <c r="D12" s="42">
        <f>'Dia 7'!D12</f>
        <v>9.1</v>
      </c>
      <c r="E12" s="42">
        <f>'Dia 7'!E12</f>
        <v>39.9</v>
      </c>
      <c r="F12" s="42">
        <f>'Dia 7'!F12</f>
        <v>8.44</v>
      </c>
      <c r="G12" s="42">
        <f>'Dia 7'!H12</f>
        <v>2120</v>
      </c>
      <c r="H12" s="42">
        <f>'Dia 7'!M12</f>
        <v>838.8624775</v>
      </c>
    </row>
    <row r="13" ht="15.75" customHeight="1">
      <c r="B13" s="25"/>
      <c r="C13" s="26">
        <v>75.0</v>
      </c>
      <c r="D13" s="42">
        <f>'Dia 7'!D13</f>
        <v>9.13</v>
      </c>
      <c r="E13" s="42">
        <f>'Dia 7'!E13</f>
        <v>53.4</v>
      </c>
      <c r="F13" s="42">
        <f>'Dia 7'!F13</f>
        <v>12.03</v>
      </c>
      <c r="G13" s="42">
        <f>'Dia 7'!H13</f>
        <v>1720</v>
      </c>
      <c r="H13" s="42">
        <f>'Dia 7'!M13</f>
        <v>631.22707</v>
      </c>
    </row>
    <row r="14" ht="15.75" customHeight="1">
      <c r="B14" s="10"/>
      <c r="C14" s="28">
        <v>100.0</v>
      </c>
      <c r="D14" s="42">
        <f>'Dia 7'!D14</f>
        <v>9.16</v>
      </c>
      <c r="E14" s="42">
        <f>'Dia 7'!E14</f>
        <v>62</v>
      </c>
      <c r="F14" s="42">
        <f>'Dia 7'!F14</f>
        <v>15.2</v>
      </c>
      <c r="G14" s="42">
        <f>'Dia 7'!H14</f>
        <v>2110</v>
      </c>
      <c r="H14" s="42">
        <f>'Dia 7'!M14</f>
        <v>798.1496525</v>
      </c>
    </row>
    <row r="15" ht="15.75" customHeight="1">
      <c r="B15" s="32"/>
      <c r="C15" s="10"/>
      <c r="D15" s="41"/>
      <c r="E15" s="6"/>
      <c r="F15" s="6"/>
      <c r="G15" s="6"/>
      <c r="H15" s="30"/>
    </row>
    <row r="16" ht="15.75" customHeight="1">
      <c r="B16" s="43" t="s">
        <v>18</v>
      </c>
      <c r="C16" s="26">
        <v>0.0</v>
      </c>
      <c r="D16" s="42">
        <f>'Dia 7'!D16</f>
        <v>7.85</v>
      </c>
      <c r="E16" s="42">
        <f>'Dia 7'!E16</f>
        <v>8.67</v>
      </c>
      <c r="F16" s="42">
        <f>'Dia 7'!F16</f>
        <v>44.1</v>
      </c>
      <c r="G16" s="42">
        <f>'Dia 7'!H16</f>
        <v>96</v>
      </c>
      <c r="H16" s="42">
        <f>'Dia 7'!M16</f>
        <v>44.55526175</v>
      </c>
    </row>
    <row r="17" ht="15.75" customHeight="1">
      <c r="B17" s="25"/>
      <c r="C17" s="26">
        <v>25.0</v>
      </c>
      <c r="D17" s="42">
        <f>'Dia 7'!D17</f>
        <v>8.97</v>
      </c>
      <c r="E17" s="42">
        <f>'Dia 7'!E17</f>
        <v>46.6</v>
      </c>
      <c r="F17" s="42">
        <f>'Dia 7'!F17</f>
        <v>6.6</v>
      </c>
      <c r="G17" s="42">
        <f>'Dia 7'!H17</f>
        <v>885</v>
      </c>
      <c r="H17" s="42">
        <f>'Dia 7'!M17</f>
        <v>535.5519313</v>
      </c>
    </row>
    <row r="18" ht="15.75" customHeight="1">
      <c r="B18" s="25"/>
      <c r="C18" s="26">
        <v>50.0</v>
      </c>
      <c r="D18" s="42">
        <f>'Dia 7'!D18</f>
        <v>9.02</v>
      </c>
      <c r="E18" s="42">
        <f>'Dia 7'!E18</f>
        <v>83.4</v>
      </c>
      <c r="F18" s="42">
        <f>'Dia 7'!F18</f>
        <v>13.75</v>
      </c>
      <c r="G18" s="42">
        <f>'Dia 7'!H18</f>
        <v>3640</v>
      </c>
      <c r="H18" s="42">
        <f>'Dia 7'!M18</f>
        <v>1140.137383</v>
      </c>
    </row>
    <row r="19" ht="15.75" customHeight="1">
      <c r="B19" s="25"/>
      <c r="C19" s="26">
        <v>75.0</v>
      </c>
      <c r="D19" s="42">
        <f>'Dia 7'!D19</f>
        <v>9.01</v>
      </c>
      <c r="E19" s="42">
        <f>'Dia 7'!E19</f>
        <v>72.1</v>
      </c>
      <c r="F19" s="42">
        <f>'Dia 7'!F19</f>
        <v>15.7</v>
      </c>
      <c r="G19" s="42">
        <f>'Dia 7'!H19</f>
        <v>2070</v>
      </c>
      <c r="H19" s="42">
        <f>'Dia 7'!M19</f>
        <v>655.654765</v>
      </c>
    </row>
    <row r="20" ht="15.75" customHeight="1">
      <c r="B20" s="10"/>
      <c r="C20" s="28">
        <v>100.0</v>
      </c>
      <c r="D20" s="42">
        <f>'Dia 7'!D20</f>
        <v>8.96</v>
      </c>
      <c r="E20" s="42">
        <f>'Dia 7'!E20</f>
        <v>184</v>
      </c>
      <c r="F20" s="42">
        <f>'Dia 7'!F20</f>
        <v>23.44</v>
      </c>
      <c r="G20" s="42">
        <f>'Dia 7'!H20</f>
        <v>6940</v>
      </c>
      <c r="H20" s="42">
        <f>'Dia 7'!M20</f>
        <v>1209.349185</v>
      </c>
    </row>
    <row r="21" ht="15.75" customHeight="1">
      <c r="B21" s="18"/>
      <c r="C21" s="10"/>
      <c r="D21" s="41"/>
      <c r="E21" s="6"/>
      <c r="F21" s="6"/>
      <c r="G21" s="6"/>
      <c r="H21" s="30"/>
    </row>
    <row r="22" ht="15.75" customHeight="1">
      <c r="B22" s="36" t="s">
        <v>19</v>
      </c>
      <c r="C22" s="26">
        <v>0.0</v>
      </c>
      <c r="D22" s="42">
        <f>'Dia 7'!D22</f>
        <v>7.77</v>
      </c>
      <c r="E22" s="42">
        <f>'Dia 7'!E22</f>
        <v>1.88</v>
      </c>
      <c r="F22" s="42">
        <f>'Dia 7'!F22</f>
        <v>52.5</v>
      </c>
      <c r="G22" s="42">
        <f>'Dia 7'!H22</f>
        <v>17</v>
      </c>
      <c r="H22" s="42">
        <f>'Dia 7'!M22</f>
        <v>15.649156</v>
      </c>
    </row>
    <row r="23" ht="15.75" customHeight="1">
      <c r="B23" s="25"/>
      <c r="C23" s="26">
        <v>25.0</v>
      </c>
      <c r="D23" s="42" t="str">
        <f>'Dia 7'!D23</f>
        <v>8,,98</v>
      </c>
      <c r="E23" s="42">
        <f>'Dia 7'!E23</f>
        <v>38.7</v>
      </c>
      <c r="F23" s="42">
        <f>'Dia 7'!F23</f>
        <v>6.63</v>
      </c>
      <c r="G23" s="42">
        <f>'Dia 7'!H23</f>
        <v>820</v>
      </c>
      <c r="H23" s="42">
        <f>'Dia 7'!M23</f>
        <v>513.1598775</v>
      </c>
    </row>
    <row r="24" ht="15.75" customHeight="1">
      <c r="B24" s="25"/>
      <c r="C24" s="26">
        <v>50.0</v>
      </c>
      <c r="D24" s="42">
        <f>'Dia 7'!D24</f>
        <v>9.02</v>
      </c>
      <c r="E24" s="42">
        <f>'Dia 7'!E24</f>
        <v>84.3</v>
      </c>
      <c r="F24" s="42">
        <f>'Dia 7'!F24</f>
        <v>13.9</v>
      </c>
      <c r="G24" s="42">
        <f>'Dia 7'!H24</f>
        <v>3800</v>
      </c>
      <c r="H24" s="42">
        <f>'Dia 7'!M24</f>
        <v>1217.49175</v>
      </c>
    </row>
    <row r="25" ht="15.75" customHeight="1">
      <c r="B25" s="25"/>
      <c r="C25" s="26">
        <v>75.0</v>
      </c>
      <c r="D25" s="42">
        <f>'Dia 7'!D25</f>
        <v>9.01</v>
      </c>
      <c r="E25" s="42">
        <f>'Dia 7'!E25</f>
        <v>95.3</v>
      </c>
      <c r="F25" s="42">
        <f>'Dia 7'!F25</f>
        <v>20.87</v>
      </c>
      <c r="G25" s="42">
        <f>'Dia 7'!H25</f>
        <v>2780</v>
      </c>
      <c r="H25" s="42">
        <f>'Dia 7'!M25</f>
        <v>1050.569168</v>
      </c>
    </row>
    <row r="26" ht="15.75" customHeight="1">
      <c r="B26" s="10"/>
      <c r="C26" s="28">
        <v>100.0</v>
      </c>
      <c r="D26" s="42">
        <f>'Dia 7'!D26</f>
        <v>9</v>
      </c>
      <c r="E26" s="42">
        <f>'Dia 7'!E26</f>
        <v>96.7</v>
      </c>
      <c r="F26" s="42">
        <f>'Dia 7'!F26</f>
        <v>20.91</v>
      </c>
      <c r="G26" s="42">
        <f>'Dia 7'!H26</f>
        <v>2890</v>
      </c>
      <c r="H26" s="42">
        <f>'Dia 7'!M26</f>
        <v>1046.497885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6">
    <mergeCell ref="B2:C3"/>
    <mergeCell ref="D2:D3"/>
    <mergeCell ref="E2:E3"/>
    <mergeCell ref="F2:F3"/>
    <mergeCell ref="G2:G3"/>
    <mergeCell ref="H2:H3"/>
    <mergeCell ref="B4:B8"/>
    <mergeCell ref="B16:B20"/>
    <mergeCell ref="B22:B26"/>
    <mergeCell ref="B9:C9"/>
    <mergeCell ref="D9:H9"/>
    <mergeCell ref="B10:B14"/>
    <mergeCell ref="B15:C15"/>
    <mergeCell ref="D15:H15"/>
    <mergeCell ref="B21:C21"/>
    <mergeCell ref="D21:H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0"/>
  <cols>
    <col customWidth="1" min="1" max="1" width="0.63"/>
    <col customWidth="1" min="5" max="5" width="14.63"/>
    <col customWidth="1" min="6" max="6" width="20.63"/>
  </cols>
  <sheetData>
    <row r="1" ht="5.25" customHeight="1">
      <c r="A1" s="1" t="s">
        <v>17</v>
      </c>
    </row>
    <row r="2" ht="15.75" customHeight="1">
      <c r="B2" s="2" t="s">
        <v>1</v>
      </c>
      <c r="C2" s="3"/>
      <c r="D2" s="4" t="s">
        <v>2</v>
      </c>
      <c r="E2" s="4" t="s">
        <v>3</v>
      </c>
      <c r="F2" s="4" t="s">
        <v>4</v>
      </c>
      <c r="G2" s="5" t="s">
        <v>5</v>
      </c>
      <c r="H2" s="6"/>
      <c r="I2" s="7" t="s">
        <v>6</v>
      </c>
      <c r="J2" s="6"/>
      <c r="K2" s="6"/>
      <c r="L2" s="6"/>
      <c r="M2" s="6"/>
    </row>
    <row r="3" ht="15.75" customHeight="1">
      <c r="B3" s="9"/>
      <c r="C3" s="10"/>
      <c r="D3" s="11"/>
      <c r="E3" s="11"/>
      <c r="F3" s="11"/>
      <c r="G3" s="12" t="s">
        <v>7</v>
      </c>
      <c r="H3" s="5" t="s">
        <v>8</v>
      </c>
      <c r="I3" s="13" t="s">
        <v>20</v>
      </c>
      <c r="J3" s="14" t="s">
        <v>21</v>
      </c>
      <c r="K3" s="15" t="s">
        <v>11</v>
      </c>
      <c r="L3" s="15" t="s">
        <v>8</v>
      </c>
      <c r="M3" s="16" t="s">
        <v>12</v>
      </c>
    </row>
    <row r="4" ht="15.75" customHeight="1">
      <c r="B4" s="17" t="s">
        <v>13</v>
      </c>
      <c r="C4" s="18">
        <v>0.0</v>
      </c>
      <c r="D4" s="19">
        <v>8.87</v>
      </c>
      <c r="E4" s="19">
        <v>5.22</v>
      </c>
      <c r="F4" s="19">
        <v>267.2</v>
      </c>
      <c r="G4" s="19">
        <v>0.0</v>
      </c>
      <c r="H4" s="20">
        <f>G4</f>
        <v>0</v>
      </c>
      <c r="I4" s="21">
        <v>0.046</v>
      </c>
      <c r="J4" s="22">
        <v>0.05</v>
      </c>
      <c r="K4" s="23">
        <f t="shared" ref="K4:K8" si="1">AVERAGE(I4:J4)</f>
        <v>0.048</v>
      </c>
      <c r="L4" s="23">
        <f>K4</f>
        <v>0.048</v>
      </c>
      <c r="M4" s="24">
        <f t="shared" ref="M4:M8" si="2">(814.2565*L4) - 3.893</f>
        <v>35.191312</v>
      </c>
    </row>
    <row r="5" ht="15.75" customHeight="1">
      <c r="B5" s="25"/>
      <c r="C5" s="26">
        <v>25.0</v>
      </c>
      <c r="D5" s="19">
        <v>9.11</v>
      </c>
      <c r="E5" s="19">
        <v>26.1</v>
      </c>
      <c r="F5" s="19">
        <v>4.23</v>
      </c>
      <c r="G5" s="19">
        <v>127.0</v>
      </c>
      <c r="H5" s="20">
        <f t="shared" ref="H5:H6" si="3">G5*10</f>
        <v>1270</v>
      </c>
      <c r="I5" s="21">
        <v>0.063</v>
      </c>
      <c r="J5" s="22">
        <v>0.053</v>
      </c>
      <c r="K5" s="23">
        <f t="shared" si="1"/>
        <v>0.058</v>
      </c>
      <c r="L5" s="23">
        <f t="shared" ref="L5:L6" si="4">K5*10</f>
        <v>0.58</v>
      </c>
      <c r="M5" s="24">
        <f t="shared" si="2"/>
        <v>468.37577</v>
      </c>
    </row>
    <row r="6" ht="15.75" customHeight="1">
      <c r="B6" s="25"/>
      <c r="C6" s="26">
        <v>50.0</v>
      </c>
      <c r="D6" s="27">
        <v>9.17</v>
      </c>
      <c r="E6" s="27">
        <v>40.2</v>
      </c>
      <c r="F6" s="27">
        <v>8.13</v>
      </c>
      <c r="G6" s="27">
        <v>226.0</v>
      </c>
      <c r="H6" s="20">
        <f t="shared" si="3"/>
        <v>2260</v>
      </c>
      <c r="I6" s="22">
        <v>0.121</v>
      </c>
      <c r="J6" s="22">
        <v>0.123</v>
      </c>
      <c r="K6" s="23">
        <f t="shared" si="1"/>
        <v>0.122</v>
      </c>
      <c r="L6" s="23">
        <f t="shared" si="4"/>
        <v>1.22</v>
      </c>
      <c r="M6" s="24">
        <f t="shared" si="2"/>
        <v>989.49993</v>
      </c>
    </row>
    <row r="7" ht="15.75" customHeight="1">
      <c r="B7" s="25"/>
      <c r="C7" s="26">
        <v>75.0</v>
      </c>
      <c r="D7" s="27">
        <v>9.26</v>
      </c>
      <c r="E7" s="27">
        <v>49.6</v>
      </c>
      <c r="F7" s="27">
        <v>11.52</v>
      </c>
      <c r="G7" s="27">
        <v>165.0</v>
      </c>
      <c r="H7" s="20">
        <f t="shared" ref="H7:H8" si="5">G7*20</f>
        <v>3300</v>
      </c>
      <c r="I7" s="22">
        <v>0.082</v>
      </c>
      <c r="J7" s="22">
        <v>0.083</v>
      </c>
      <c r="K7" s="23">
        <f t="shared" si="1"/>
        <v>0.0825</v>
      </c>
      <c r="L7" s="23">
        <f t="shared" ref="L7:L8" si="6">K7*20</f>
        <v>1.65</v>
      </c>
      <c r="M7" s="24">
        <f t="shared" si="2"/>
        <v>1339.630225</v>
      </c>
    </row>
    <row r="8" ht="15.75" customHeight="1">
      <c r="B8" s="10"/>
      <c r="C8" s="28">
        <v>100.0</v>
      </c>
      <c r="D8" s="27">
        <v>9.33</v>
      </c>
      <c r="E8" s="27">
        <v>60.0</v>
      </c>
      <c r="F8" s="27">
        <v>14.52</v>
      </c>
      <c r="G8" s="27">
        <v>208.0</v>
      </c>
      <c r="H8" s="20">
        <f t="shared" si="5"/>
        <v>4160</v>
      </c>
      <c r="I8" s="22">
        <v>0.107</v>
      </c>
      <c r="J8" s="22">
        <v>0.118</v>
      </c>
      <c r="K8" s="23">
        <f t="shared" si="1"/>
        <v>0.1125</v>
      </c>
      <c r="L8" s="23">
        <f t="shared" si="6"/>
        <v>2.25</v>
      </c>
      <c r="M8" s="24">
        <f t="shared" si="2"/>
        <v>1828.184125</v>
      </c>
    </row>
    <row r="9" ht="15.75" customHeight="1">
      <c r="B9" s="18"/>
      <c r="C9" s="10"/>
      <c r="D9" s="29"/>
      <c r="E9" s="6"/>
      <c r="F9" s="6"/>
      <c r="G9" s="6"/>
      <c r="H9" s="6"/>
      <c r="I9" s="6"/>
      <c r="J9" s="6"/>
      <c r="K9" s="6"/>
      <c r="L9" s="6"/>
      <c r="M9" s="30"/>
    </row>
    <row r="10" ht="15.75" customHeight="1">
      <c r="B10" s="31" t="s">
        <v>14</v>
      </c>
      <c r="C10" s="26">
        <v>0.0</v>
      </c>
      <c r="D10" s="27">
        <v>9.25</v>
      </c>
      <c r="E10" s="27">
        <v>3.57</v>
      </c>
      <c r="F10" s="27">
        <v>227.2</v>
      </c>
      <c r="G10" s="27">
        <v>0.0</v>
      </c>
      <c r="H10" s="34">
        <f>G10</f>
        <v>0</v>
      </c>
      <c r="I10" s="22">
        <v>0.014</v>
      </c>
      <c r="J10" s="22">
        <v>0.013</v>
      </c>
      <c r="K10" s="23">
        <f t="shared" ref="K10:K14" si="7">AVERAGE(I10:J10)</f>
        <v>0.0135</v>
      </c>
      <c r="L10" s="24">
        <f>K10</f>
        <v>0.0135</v>
      </c>
      <c r="M10" s="24">
        <f t="shared" ref="M10:M14" si="8">(814.2565*L10) - 3.893</f>
        <v>7.09946275</v>
      </c>
    </row>
    <row r="11" ht="15.75" customHeight="1">
      <c r="B11" s="25"/>
      <c r="C11" s="26">
        <v>25.0</v>
      </c>
      <c r="D11" s="27">
        <v>9.19</v>
      </c>
      <c r="E11" s="27">
        <v>24.1</v>
      </c>
      <c r="F11" s="27">
        <v>4.14</v>
      </c>
      <c r="G11" s="27">
        <v>99.0</v>
      </c>
      <c r="H11" s="34">
        <f t="shared" ref="H11:H12" si="9">G11*10</f>
        <v>990</v>
      </c>
      <c r="I11" s="22">
        <v>0.067</v>
      </c>
      <c r="J11" s="22">
        <v>0.069</v>
      </c>
      <c r="K11" s="23">
        <f t="shared" si="7"/>
        <v>0.068</v>
      </c>
      <c r="L11" s="24">
        <f t="shared" ref="L11:L12" si="10">K11*10</f>
        <v>0.68</v>
      </c>
      <c r="M11" s="24">
        <f t="shared" si="8"/>
        <v>549.80142</v>
      </c>
    </row>
    <row r="12" ht="15.75" customHeight="1">
      <c r="B12" s="25"/>
      <c r="C12" s="26">
        <v>50.0</v>
      </c>
      <c r="D12" s="27">
        <v>9.2</v>
      </c>
      <c r="E12" s="27">
        <v>42.2</v>
      </c>
      <c r="F12" s="27">
        <v>8.22</v>
      </c>
      <c r="G12" s="27">
        <v>218.0</v>
      </c>
      <c r="H12" s="34">
        <f t="shared" si="9"/>
        <v>2180</v>
      </c>
      <c r="I12" s="22">
        <v>0.115</v>
      </c>
      <c r="J12" s="22">
        <v>0.123</v>
      </c>
      <c r="K12" s="23">
        <f t="shared" si="7"/>
        <v>0.119</v>
      </c>
      <c r="L12" s="24">
        <f t="shared" si="10"/>
        <v>1.19</v>
      </c>
      <c r="M12" s="24">
        <f t="shared" si="8"/>
        <v>965.072235</v>
      </c>
    </row>
    <row r="13" ht="15.75" customHeight="1">
      <c r="B13" s="25"/>
      <c r="C13" s="26">
        <v>75.0</v>
      </c>
      <c r="D13" s="27">
        <v>9.27</v>
      </c>
      <c r="E13" s="27">
        <v>55.5</v>
      </c>
      <c r="F13" s="27">
        <v>11.36</v>
      </c>
      <c r="G13" s="27">
        <v>176.0</v>
      </c>
      <c r="H13" s="34">
        <f t="shared" ref="H13:H14" si="11">G13*20</f>
        <v>3520</v>
      </c>
      <c r="I13" s="22">
        <v>0.085</v>
      </c>
      <c r="J13" s="22">
        <v>0.086</v>
      </c>
      <c r="K13" s="23">
        <f t="shared" si="7"/>
        <v>0.0855</v>
      </c>
      <c r="L13" s="24">
        <f t="shared" ref="L13:L14" si="12">K13*20</f>
        <v>1.71</v>
      </c>
      <c r="M13" s="24">
        <f t="shared" si="8"/>
        <v>1388.485615</v>
      </c>
    </row>
    <row r="14" ht="15.75" customHeight="1">
      <c r="B14" s="10"/>
      <c r="C14" s="28">
        <v>100.0</v>
      </c>
      <c r="D14" s="27">
        <v>9.34</v>
      </c>
      <c r="E14" s="27">
        <v>73.8</v>
      </c>
      <c r="F14" s="27">
        <v>14.61</v>
      </c>
      <c r="G14" s="27">
        <v>227.0</v>
      </c>
      <c r="H14" s="34">
        <f t="shared" si="11"/>
        <v>4540</v>
      </c>
      <c r="I14" s="22">
        <v>0.113</v>
      </c>
      <c r="J14" s="22">
        <v>0.166</v>
      </c>
      <c r="K14" s="23">
        <f t="shared" si="7"/>
        <v>0.1395</v>
      </c>
      <c r="L14" s="24">
        <f t="shared" si="12"/>
        <v>2.79</v>
      </c>
      <c r="M14" s="24">
        <f t="shared" si="8"/>
        <v>2267.882635</v>
      </c>
    </row>
    <row r="15" ht="15.75" customHeight="1">
      <c r="B15" s="32"/>
      <c r="C15" s="10"/>
      <c r="D15" s="29"/>
      <c r="E15" s="6"/>
      <c r="F15" s="6"/>
      <c r="G15" s="6"/>
      <c r="H15" s="6"/>
      <c r="I15" s="6"/>
      <c r="J15" s="6"/>
      <c r="K15" s="6"/>
      <c r="L15" s="6"/>
      <c r="M15" s="30"/>
    </row>
    <row r="16" ht="15.75" customHeight="1">
      <c r="B16" s="33" t="s">
        <v>15</v>
      </c>
      <c r="C16" s="26">
        <v>0.0</v>
      </c>
      <c r="D16" s="27">
        <v>8.55</v>
      </c>
      <c r="E16" s="27">
        <v>4.85</v>
      </c>
      <c r="F16" s="27">
        <v>259.8</v>
      </c>
      <c r="G16" s="27">
        <v>0.0</v>
      </c>
      <c r="H16" s="34">
        <f>G16</f>
        <v>0</v>
      </c>
      <c r="I16" s="22">
        <v>0.069</v>
      </c>
      <c r="J16" s="22">
        <v>0.073</v>
      </c>
      <c r="K16" s="23">
        <f t="shared" ref="K16:K20" si="13">AVERAGE(I16:J16)</f>
        <v>0.071</v>
      </c>
      <c r="L16" s="23">
        <f>K16</f>
        <v>0.071</v>
      </c>
      <c r="M16" s="24">
        <f t="shared" ref="M16:M20" si="14">(814.2565*L16) - 3.893</f>
        <v>53.9192115</v>
      </c>
    </row>
    <row r="17" ht="15.75" customHeight="1">
      <c r="B17" s="25"/>
      <c r="C17" s="26">
        <v>25.0</v>
      </c>
      <c r="D17" s="27">
        <v>9.18</v>
      </c>
      <c r="E17" s="27">
        <v>19.7</v>
      </c>
      <c r="F17" s="27">
        <v>5.96</v>
      </c>
      <c r="G17" s="27">
        <v>154.0</v>
      </c>
      <c r="H17" s="34">
        <f t="shared" ref="H17:H18" si="15">G17*10</f>
        <v>1540</v>
      </c>
      <c r="I17" s="22">
        <v>0.091</v>
      </c>
      <c r="J17" s="22">
        <v>0.066</v>
      </c>
      <c r="K17" s="23">
        <f t="shared" si="13"/>
        <v>0.0785</v>
      </c>
      <c r="L17" s="23">
        <f t="shared" ref="L17:L18" si="16">K17*10</f>
        <v>0.785</v>
      </c>
      <c r="M17" s="24">
        <f t="shared" si="14"/>
        <v>635.2983525</v>
      </c>
    </row>
    <row r="18" ht="15.75" customHeight="1">
      <c r="B18" s="25"/>
      <c r="C18" s="26">
        <v>50.0</v>
      </c>
      <c r="D18" s="27">
        <v>8.95</v>
      </c>
      <c r="E18" s="27">
        <v>171.0</v>
      </c>
      <c r="F18" s="27">
        <v>13.56</v>
      </c>
      <c r="G18" s="27">
        <v>283.0</v>
      </c>
      <c r="H18" s="34">
        <f t="shared" si="15"/>
        <v>2830</v>
      </c>
      <c r="I18" s="22">
        <v>0.208</v>
      </c>
      <c r="J18" s="22">
        <v>0.202</v>
      </c>
      <c r="K18" s="23">
        <f t="shared" si="13"/>
        <v>0.205</v>
      </c>
      <c r="L18" s="23">
        <f t="shared" si="16"/>
        <v>2.05</v>
      </c>
      <c r="M18" s="24">
        <f t="shared" si="14"/>
        <v>1665.332825</v>
      </c>
    </row>
    <row r="19" ht="15.75" customHeight="1">
      <c r="B19" s="25"/>
      <c r="C19" s="26">
        <v>75.0</v>
      </c>
      <c r="D19" s="27">
        <v>9.3</v>
      </c>
      <c r="E19" s="27">
        <v>90.3</v>
      </c>
      <c r="F19" s="27">
        <v>13.81</v>
      </c>
      <c r="G19" s="27">
        <v>219.0</v>
      </c>
      <c r="H19" s="34">
        <f t="shared" ref="H19:H20" si="17">G19*20</f>
        <v>4380</v>
      </c>
      <c r="I19" s="22">
        <v>0.083</v>
      </c>
      <c r="J19" s="22">
        <v>0.082</v>
      </c>
      <c r="K19" s="23">
        <f t="shared" si="13"/>
        <v>0.0825</v>
      </c>
      <c r="L19" s="23">
        <f t="shared" ref="L19:L20" si="18">K19*20</f>
        <v>1.65</v>
      </c>
      <c r="M19" s="24">
        <f t="shared" si="14"/>
        <v>1339.630225</v>
      </c>
    </row>
    <row r="20" ht="15.75" customHeight="1">
      <c r="B20" s="10"/>
      <c r="C20" s="28">
        <v>100.0</v>
      </c>
      <c r="D20" s="27">
        <v>9.29</v>
      </c>
      <c r="E20" s="27">
        <v>22.3</v>
      </c>
      <c r="F20" s="27">
        <v>20.95</v>
      </c>
      <c r="G20" s="27">
        <v>390.0</v>
      </c>
      <c r="H20" s="34">
        <f t="shared" si="17"/>
        <v>7800</v>
      </c>
      <c r="I20" s="22">
        <v>0.146</v>
      </c>
      <c r="J20" s="22">
        <v>0.146</v>
      </c>
      <c r="K20" s="23">
        <f t="shared" si="13"/>
        <v>0.146</v>
      </c>
      <c r="L20" s="23">
        <f t="shared" si="18"/>
        <v>2.92</v>
      </c>
      <c r="M20" s="24">
        <f t="shared" si="14"/>
        <v>2373.73598</v>
      </c>
    </row>
    <row r="21" ht="15.75" customHeight="1">
      <c r="B21" s="18"/>
      <c r="C21" s="10"/>
      <c r="D21" s="29"/>
      <c r="E21" s="6"/>
      <c r="F21" s="6"/>
      <c r="G21" s="6"/>
      <c r="H21" s="6"/>
      <c r="I21" s="6"/>
      <c r="J21" s="6"/>
      <c r="K21" s="6"/>
      <c r="L21" s="6"/>
      <c r="M21" s="30"/>
    </row>
    <row r="22" ht="15.75" customHeight="1">
      <c r="B22" s="36" t="s">
        <v>16</v>
      </c>
      <c r="C22" s="26">
        <v>0.0</v>
      </c>
      <c r="D22" s="27">
        <v>8.69</v>
      </c>
      <c r="E22" s="27">
        <v>2.01</v>
      </c>
      <c r="F22" s="27">
        <v>241.1</v>
      </c>
      <c r="G22" s="27">
        <v>0.0</v>
      </c>
      <c r="H22" s="34">
        <f>G22</f>
        <v>0</v>
      </c>
      <c r="I22" s="22">
        <v>0.017</v>
      </c>
      <c r="J22" s="22">
        <v>0.017</v>
      </c>
      <c r="K22" s="23">
        <f t="shared" ref="K22:K26" si="19">AVERAGE(I22:J22)</f>
        <v>0.017</v>
      </c>
      <c r="L22" s="23">
        <f>K22</f>
        <v>0.017</v>
      </c>
      <c r="M22" s="24">
        <f t="shared" ref="M22:M26" si="20">(814.2565*L22) - 3.893</f>
        <v>9.9493605</v>
      </c>
    </row>
    <row r="23" ht="15.75" customHeight="1">
      <c r="B23" s="25"/>
      <c r="C23" s="26">
        <v>25.0</v>
      </c>
      <c r="D23" s="27">
        <v>9.21</v>
      </c>
      <c r="E23" s="27">
        <v>32.2</v>
      </c>
      <c r="F23" s="27">
        <v>5.83</v>
      </c>
      <c r="G23" s="27">
        <v>160.0</v>
      </c>
      <c r="H23" s="34">
        <f t="shared" ref="H23:H24" si="21">G23*10</f>
        <v>1600</v>
      </c>
      <c r="I23" s="22">
        <v>0.073</v>
      </c>
      <c r="J23" s="22">
        <v>0.063</v>
      </c>
      <c r="K23" s="23">
        <f t="shared" si="19"/>
        <v>0.068</v>
      </c>
      <c r="L23" s="23">
        <f t="shared" ref="L23:L24" si="22">K23*10</f>
        <v>0.68</v>
      </c>
      <c r="M23" s="24">
        <f t="shared" si="20"/>
        <v>549.80142</v>
      </c>
    </row>
    <row r="24" ht="15.75" customHeight="1">
      <c r="B24" s="25"/>
      <c r="C24" s="26">
        <v>50.0</v>
      </c>
      <c r="D24" s="27">
        <v>9.19</v>
      </c>
      <c r="E24" s="27">
        <v>98.9</v>
      </c>
      <c r="F24" s="27">
        <v>12.27</v>
      </c>
      <c r="G24" s="27">
        <v>390.0</v>
      </c>
      <c r="H24" s="34">
        <f t="shared" si="21"/>
        <v>3900</v>
      </c>
      <c r="I24" s="22">
        <v>0.17</v>
      </c>
      <c r="J24" s="22">
        <v>0.162</v>
      </c>
      <c r="K24" s="23">
        <f t="shared" si="19"/>
        <v>0.166</v>
      </c>
      <c r="L24" s="23">
        <f t="shared" si="22"/>
        <v>1.66</v>
      </c>
      <c r="M24" s="24">
        <f t="shared" si="20"/>
        <v>1347.77279</v>
      </c>
    </row>
    <row r="25" ht="15.75" customHeight="1">
      <c r="B25" s="25"/>
      <c r="C25" s="26">
        <v>75.0</v>
      </c>
      <c r="D25" s="27">
        <v>9.29</v>
      </c>
      <c r="E25" s="27">
        <v>132.0</v>
      </c>
      <c r="F25" s="27">
        <v>18.54</v>
      </c>
      <c r="G25" s="27">
        <v>307.0</v>
      </c>
      <c r="H25" s="34">
        <f t="shared" ref="H25:H26" si="23">G25*20</f>
        <v>6140</v>
      </c>
      <c r="I25" s="22">
        <v>0.141</v>
      </c>
      <c r="J25" s="22">
        <v>0.136</v>
      </c>
      <c r="K25" s="23">
        <f t="shared" si="19"/>
        <v>0.1385</v>
      </c>
      <c r="L25" s="23">
        <f t="shared" ref="L25:L26" si="24">K25*20</f>
        <v>2.77</v>
      </c>
      <c r="M25" s="24">
        <f t="shared" si="20"/>
        <v>2251.597505</v>
      </c>
    </row>
    <row r="26" ht="15.75" customHeight="1">
      <c r="B26" s="10"/>
      <c r="C26" s="28">
        <v>100.0</v>
      </c>
      <c r="D26" s="27">
        <v>9.28</v>
      </c>
      <c r="E26" s="27">
        <v>105.0</v>
      </c>
      <c r="F26" s="27">
        <v>18.14</v>
      </c>
      <c r="G26" s="27">
        <v>301.0</v>
      </c>
      <c r="H26" s="34">
        <f t="shared" si="23"/>
        <v>6020</v>
      </c>
      <c r="I26" s="22">
        <v>0.118</v>
      </c>
      <c r="J26" s="22">
        <v>0.12</v>
      </c>
      <c r="K26" s="23">
        <f t="shared" si="19"/>
        <v>0.119</v>
      </c>
      <c r="L26" s="23">
        <f t="shared" si="24"/>
        <v>2.38</v>
      </c>
      <c r="M26" s="24">
        <f t="shared" si="20"/>
        <v>1934.03747</v>
      </c>
    </row>
    <row r="27" ht="15.75" customHeight="1"/>
    <row r="28" ht="15.75" customHeight="1">
      <c r="F28" s="47" t="s">
        <v>0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6">
    <mergeCell ref="B2:C3"/>
    <mergeCell ref="D2:D3"/>
    <mergeCell ref="E2:E3"/>
    <mergeCell ref="F2:F3"/>
    <mergeCell ref="G2:H2"/>
    <mergeCell ref="I2:M2"/>
    <mergeCell ref="B4:B8"/>
    <mergeCell ref="B16:B20"/>
    <mergeCell ref="B22:B26"/>
    <mergeCell ref="B9:C9"/>
    <mergeCell ref="D9:M9"/>
    <mergeCell ref="B10:B14"/>
    <mergeCell ref="B15:C15"/>
    <mergeCell ref="D15:M15"/>
    <mergeCell ref="B21:C21"/>
    <mergeCell ref="D21:M2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0"/>
  <cols>
    <col customWidth="1" min="1" max="1" width="0.63"/>
    <col customWidth="1" min="5" max="5" width="14.63"/>
    <col customWidth="1" min="6" max="6" width="20.63"/>
  </cols>
  <sheetData>
    <row r="1" ht="5.25" customHeight="1">
      <c r="A1" s="1" t="s">
        <v>17</v>
      </c>
    </row>
    <row r="2" ht="15.75" customHeight="1">
      <c r="B2" s="2" t="s">
        <v>1</v>
      </c>
      <c r="C2" s="3"/>
      <c r="D2" s="4" t="s">
        <v>2</v>
      </c>
      <c r="E2" s="4" t="s">
        <v>3</v>
      </c>
      <c r="F2" s="4" t="s">
        <v>4</v>
      </c>
      <c r="G2" s="37" t="s">
        <v>5</v>
      </c>
      <c r="H2" s="38" t="s">
        <v>6</v>
      </c>
      <c r="I2" s="8"/>
      <c r="J2" s="8"/>
      <c r="K2" s="8"/>
    </row>
    <row r="3" ht="15.75" customHeight="1">
      <c r="B3" s="9"/>
      <c r="C3" s="10"/>
      <c r="D3" s="11"/>
      <c r="E3" s="11"/>
      <c r="F3" s="11"/>
      <c r="G3" s="39"/>
      <c r="H3" s="11"/>
      <c r="I3" s="8"/>
      <c r="J3" s="8"/>
      <c r="K3" s="8"/>
    </row>
    <row r="4" ht="15.75" customHeight="1">
      <c r="B4" s="17" t="s">
        <v>13</v>
      </c>
      <c r="C4" s="18">
        <v>0.0</v>
      </c>
      <c r="D4" s="40">
        <f>'Dia 14'!D4</f>
        <v>8.87</v>
      </c>
      <c r="E4" s="40">
        <f>'Dia 14'!E4</f>
        <v>5.22</v>
      </c>
      <c r="F4" s="40">
        <f>'Dia 14'!F4</f>
        <v>267.2</v>
      </c>
      <c r="G4" s="40">
        <f>'Dia 14'!H4</f>
        <v>0</v>
      </c>
      <c r="H4" s="40">
        <f>'Dia 14'!M4</f>
        <v>35.191312</v>
      </c>
      <c r="I4" s="8"/>
      <c r="J4" s="8"/>
      <c r="K4" s="8"/>
    </row>
    <row r="5" ht="15.75" customHeight="1">
      <c r="B5" s="25"/>
      <c r="C5" s="26">
        <v>25.0</v>
      </c>
      <c r="D5" s="40">
        <f>'Dia 14'!D5</f>
        <v>9.11</v>
      </c>
      <c r="E5" s="40">
        <f>'Dia 14'!E5</f>
        <v>26.1</v>
      </c>
      <c r="F5" s="40">
        <f>'Dia 14'!F5</f>
        <v>4.23</v>
      </c>
      <c r="G5" s="40">
        <f>'Dia 14'!H5</f>
        <v>1270</v>
      </c>
      <c r="H5" s="40">
        <f>'Dia 14'!M5</f>
        <v>468.37577</v>
      </c>
      <c r="I5" s="8"/>
      <c r="J5" s="8"/>
      <c r="K5" s="8"/>
    </row>
    <row r="6" ht="15.75" customHeight="1">
      <c r="B6" s="25"/>
      <c r="C6" s="26">
        <v>50.0</v>
      </c>
      <c r="D6" s="40">
        <f>'Dia 14'!D6</f>
        <v>9.17</v>
      </c>
      <c r="E6" s="40">
        <f>'Dia 14'!E6</f>
        <v>40.2</v>
      </c>
      <c r="F6" s="40">
        <f>'Dia 14'!F6</f>
        <v>8.13</v>
      </c>
      <c r="G6" s="40">
        <f>'Dia 14'!H6</f>
        <v>2260</v>
      </c>
      <c r="H6" s="40">
        <f>'Dia 14'!M6</f>
        <v>989.49993</v>
      </c>
      <c r="I6" s="8"/>
      <c r="J6" s="8"/>
      <c r="K6" s="8"/>
    </row>
    <row r="7" ht="15.75" customHeight="1">
      <c r="B7" s="25"/>
      <c r="C7" s="26">
        <v>75.0</v>
      </c>
      <c r="D7" s="40">
        <f>'Dia 14'!D7</f>
        <v>9.26</v>
      </c>
      <c r="E7" s="40">
        <f>'Dia 14'!E7</f>
        <v>49.6</v>
      </c>
      <c r="F7" s="40">
        <f>'Dia 14'!F7</f>
        <v>11.52</v>
      </c>
      <c r="G7" s="40">
        <f>'Dia 14'!H7</f>
        <v>3300</v>
      </c>
      <c r="H7" s="40">
        <f>'Dia 14'!M7</f>
        <v>1339.630225</v>
      </c>
      <c r="I7" s="8"/>
      <c r="J7" s="8"/>
      <c r="K7" s="8"/>
    </row>
    <row r="8" ht="15.75" customHeight="1">
      <c r="B8" s="10"/>
      <c r="C8" s="28">
        <v>100.0</v>
      </c>
      <c r="D8" s="40">
        <f>'Dia 14'!D8</f>
        <v>9.33</v>
      </c>
      <c r="E8" s="40">
        <f>'Dia 14'!E8</f>
        <v>60</v>
      </c>
      <c r="F8" s="40">
        <f>'Dia 14'!F8</f>
        <v>14.52</v>
      </c>
      <c r="G8" s="40">
        <f>'Dia 14'!H8</f>
        <v>4160</v>
      </c>
      <c r="H8" s="40">
        <f>'Dia 14'!M8</f>
        <v>1828.184125</v>
      </c>
      <c r="I8" s="8"/>
      <c r="J8" s="8"/>
      <c r="K8" s="8"/>
    </row>
    <row r="9" ht="15.75" customHeight="1">
      <c r="B9" s="18"/>
      <c r="C9" s="10"/>
      <c r="D9" s="41"/>
      <c r="E9" s="6"/>
      <c r="F9" s="6"/>
      <c r="G9" s="6"/>
      <c r="H9" s="30"/>
      <c r="I9" s="8"/>
      <c r="J9" s="8"/>
      <c r="K9" s="8"/>
    </row>
    <row r="10" ht="15.75" customHeight="1">
      <c r="B10" s="31" t="s">
        <v>14</v>
      </c>
      <c r="C10" s="26">
        <v>0.0</v>
      </c>
      <c r="D10" s="42">
        <f>'Dia 14'!D10</f>
        <v>9.25</v>
      </c>
      <c r="E10" s="42">
        <f>'Dia 14'!E10</f>
        <v>3.57</v>
      </c>
      <c r="F10" s="42">
        <f>'Dia 14'!F10</f>
        <v>227.2</v>
      </c>
      <c r="G10" s="42">
        <f>'Dia 14'!H10</f>
        <v>0</v>
      </c>
      <c r="H10" s="42">
        <f>'Dia 14'!M10</f>
        <v>7.09946275</v>
      </c>
      <c r="I10" s="8"/>
      <c r="J10" s="8"/>
      <c r="K10" s="8"/>
    </row>
    <row r="11" ht="15.75" customHeight="1">
      <c r="B11" s="25"/>
      <c r="C11" s="26">
        <v>25.0</v>
      </c>
      <c r="D11" s="42">
        <f>'Dia 14'!D11</f>
        <v>9.19</v>
      </c>
      <c r="E11" s="42">
        <f>'Dia 14'!E11</f>
        <v>24.1</v>
      </c>
      <c r="F11" s="42">
        <f>'Dia 14'!F11</f>
        <v>4.14</v>
      </c>
      <c r="G11" s="42">
        <f>'Dia 14'!H11</f>
        <v>990</v>
      </c>
      <c r="H11" s="42">
        <f>'Dia 14'!M11</f>
        <v>549.80142</v>
      </c>
    </row>
    <row r="12" ht="15.75" customHeight="1">
      <c r="B12" s="25"/>
      <c r="C12" s="26">
        <v>50.0</v>
      </c>
      <c r="D12" s="42">
        <f>'Dia 14'!D12</f>
        <v>9.2</v>
      </c>
      <c r="E12" s="42">
        <f>'Dia 14'!E12</f>
        <v>42.2</v>
      </c>
      <c r="F12" s="42">
        <f>'Dia 14'!F12</f>
        <v>8.22</v>
      </c>
      <c r="G12" s="42">
        <f>'Dia 14'!H12</f>
        <v>2180</v>
      </c>
      <c r="H12" s="42">
        <f>'Dia 14'!M12</f>
        <v>965.072235</v>
      </c>
    </row>
    <row r="13" ht="15.75" customHeight="1">
      <c r="B13" s="25"/>
      <c r="C13" s="26">
        <v>75.0</v>
      </c>
      <c r="D13" s="42">
        <f>'Dia 14'!D13</f>
        <v>9.27</v>
      </c>
      <c r="E13" s="42">
        <f>'Dia 14'!E13</f>
        <v>55.5</v>
      </c>
      <c r="F13" s="42">
        <f>'Dia 14'!F13</f>
        <v>11.36</v>
      </c>
      <c r="G13" s="42">
        <f>'Dia 14'!H13</f>
        <v>3520</v>
      </c>
      <c r="H13" s="42">
        <f>'Dia 14'!M13</f>
        <v>1388.485615</v>
      </c>
    </row>
    <row r="14" ht="15.75" customHeight="1">
      <c r="B14" s="10"/>
      <c r="C14" s="28">
        <v>100.0</v>
      </c>
      <c r="D14" s="42">
        <f>'Dia 14'!D14</f>
        <v>9.34</v>
      </c>
      <c r="E14" s="42">
        <f>'Dia 14'!E14</f>
        <v>73.8</v>
      </c>
      <c r="F14" s="42">
        <f>'Dia 14'!F14</f>
        <v>14.61</v>
      </c>
      <c r="G14" s="42">
        <f>'Dia 14'!H14</f>
        <v>4540</v>
      </c>
      <c r="H14" s="42">
        <f>'Dia 14'!M14</f>
        <v>2267.882635</v>
      </c>
    </row>
    <row r="15" ht="15.75" customHeight="1">
      <c r="B15" s="32"/>
      <c r="C15" s="10"/>
      <c r="D15" s="41"/>
      <c r="E15" s="6"/>
      <c r="F15" s="6"/>
      <c r="G15" s="6"/>
      <c r="H15" s="30"/>
    </row>
    <row r="16" ht="15.75" customHeight="1">
      <c r="B16" s="43" t="s">
        <v>18</v>
      </c>
      <c r="C16" s="26">
        <v>0.0</v>
      </c>
      <c r="D16" s="42">
        <f>'Dia 14'!D16</f>
        <v>8.55</v>
      </c>
      <c r="E16" s="42">
        <f>'Dia 14'!E16</f>
        <v>4.85</v>
      </c>
      <c r="F16" s="42">
        <f>'Dia 14'!F16</f>
        <v>259.8</v>
      </c>
      <c r="G16" s="42">
        <f>'Dia 14'!H16</f>
        <v>0</v>
      </c>
      <c r="H16" s="42">
        <f>'Dia 14'!M16</f>
        <v>53.9192115</v>
      </c>
    </row>
    <row r="17" ht="15.75" customHeight="1">
      <c r="B17" s="25"/>
      <c r="C17" s="26">
        <v>25.0</v>
      </c>
      <c r="D17" s="42">
        <f>'Dia 14'!D17</f>
        <v>9.18</v>
      </c>
      <c r="E17" s="42">
        <f>'Dia 14'!E17</f>
        <v>19.7</v>
      </c>
      <c r="F17" s="42">
        <f>'Dia 14'!F17</f>
        <v>5.96</v>
      </c>
      <c r="G17" s="42">
        <f>'Dia 14'!H17</f>
        <v>1540</v>
      </c>
      <c r="H17" s="42">
        <f>'Dia 14'!M17</f>
        <v>635.2983525</v>
      </c>
    </row>
    <row r="18" ht="15.75" customHeight="1">
      <c r="B18" s="25"/>
      <c r="C18" s="26">
        <v>50.0</v>
      </c>
      <c r="D18" s="42">
        <f>'Dia 14'!D18</f>
        <v>8.95</v>
      </c>
      <c r="E18" s="42">
        <f>'Dia 14'!E18</f>
        <v>171</v>
      </c>
      <c r="F18" s="42">
        <f>'Dia 14'!F18</f>
        <v>13.56</v>
      </c>
      <c r="G18" s="42">
        <f>'Dia 14'!H18</f>
        <v>2830</v>
      </c>
      <c r="H18" s="42">
        <f>'Dia 14'!M18</f>
        <v>1665.332825</v>
      </c>
    </row>
    <row r="19" ht="15.75" customHeight="1">
      <c r="B19" s="25"/>
      <c r="C19" s="26">
        <v>75.0</v>
      </c>
      <c r="D19" s="42">
        <f>'Dia 14'!D19</f>
        <v>9.3</v>
      </c>
      <c r="E19" s="42">
        <f>'Dia 14'!E19</f>
        <v>90.3</v>
      </c>
      <c r="F19" s="42">
        <f>'Dia 14'!F19</f>
        <v>13.81</v>
      </c>
      <c r="G19" s="42">
        <f>'Dia 14'!H19</f>
        <v>4380</v>
      </c>
      <c r="H19" s="42">
        <f>'Dia 14'!M19</f>
        <v>1339.630225</v>
      </c>
    </row>
    <row r="20" ht="15.75" customHeight="1">
      <c r="B20" s="10"/>
      <c r="C20" s="28">
        <v>100.0</v>
      </c>
      <c r="D20" s="42">
        <f>'Dia 14'!D20</f>
        <v>9.29</v>
      </c>
      <c r="E20" s="42">
        <f>'Dia 14'!E20</f>
        <v>22.3</v>
      </c>
      <c r="F20" s="42">
        <f>'Dia 14'!F20</f>
        <v>20.95</v>
      </c>
      <c r="G20" s="42">
        <f>'Dia 14'!H20</f>
        <v>7800</v>
      </c>
      <c r="H20" s="42">
        <f>'Dia 14'!M20</f>
        <v>2373.73598</v>
      </c>
    </row>
    <row r="21" ht="15.75" customHeight="1">
      <c r="B21" s="18"/>
      <c r="C21" s="10"/>
      <c r="D21" s="41"/>
      <c r="E21" s="6"/>
      <c r="F21" s="6"/>
      <c r="G21" s="6"/>
      <c r="H21" s="30"/>
    </row>
    <row r="22" ht="15.75" customHeight="1">
      <c r="B22" s="36" t="s">
        <v>19</v>
      </c>
      <c r="C22" s="26">
        <v>0.0</v>
      </c>
      <c r="D22" s="42">
        <f>'Dia 14'!D22</f>
        <v>8.69</v>
      </c>
      <c r="E22" s="42">
        <f>'Dia 14'!E22</f>
        <v>2.01</v>
      </c>
      <c r="F22" s="42">
        <f>'Dia 14'!F22</f>
        <v>241.1</v>
      </c>
      <c r="G22" s="42">
        <f>'Dia 14'!H22</f>
        <v>0</v>
      </c>
      <c r="H22" s="42">
        <f>'Dia 14'!M22</f>
        <v>9.9493605</v>
      </c>
    </row>
    <row r="23" ht="15.75" customHeight="1">
      <c r="B23" s="25"/>
      <c r="C23" s="26">
        <v>25.0</v>
      </c>
      <c r="D23" s="42">
        <f>'Dia 14'!D23</f>
        <v>9.21</v>
      </c>
      <c r="E23" s="42">
        <f>'Dia 14'!E23</f>
        <v>32.2</v>
      </c>
      <c r="F23" s="42">
        <f>'Dia 14'!F23</f>
        <v>5.83</v>
      </c>
      <c r="G23" s="42">
        <f>'Dia 14'!H23</f>
        <v>1600</v>
      </c>
      <c r="H23" s="42">
        <f>'Dia 14'!M23</f>
        <v>549.80142</v>
      </c>
    </row>
    <row r="24" ht="15.75" customHeight="1">
      <c r="B24" s="25"/>
      <c r="C24" s="26">
        <v>50.0</v>
      </c>
      <c r="D24" s="42">
        <f>'Dia 14'!D24</f>
        <v>9.19</v>
      </c>
      <c r="E24" s="42">
        <f>'Dia 14'!E24</f>
        <v>98.9</v>
      </c>
      <c r="F24" s="42">
        <f>'Dia 14'!F24</f>
        <v>12.27</v>
      </c>
      <c r="G24" s="42">
        <f>'Dia 14'!H24</f>
        <v>3900</v>
      </c>
      <c r="H24" s="42">
        <f>'Dia 14'!M24</f>
        <v>1347.77279</v>
      </c>
    </row>
    <row r="25" ht="15.75" customHeight="1">
      <c r="B25" s="25"/>
      <c r="C25" s="26">
        <v>75.0</v>
      </c>
      <c r="D25" s="42">
        <f>'Dia 14'!D25</f>
        <v>9.29</v>
      </c>
      <c r="E25" s="42">
        <f>'Dia 14'!E25</f>
        <v>132</v>
      </c>
      <c r="F25" s="42">
        <f>'Dia 14'!F25</f>
        <v>18.54</v>
      </c>
      <c r="G25" s="42">
        <f>'Dia 14'!H25</f>
        <v>6140</v>
      </c>
      <c r="H25" s="42">
        <f>'Dia 14'!M25</f>
        <v>2251.597505</v>
      </c>
    </row>
    <row r="26" ht="15.75" customHeight="1">
      <c r="B26" s="10"/>
      <c r="C26" s="28">
        <v>100.0</v>
      </c>
      <c r="D26" s="42">
        <f>'Dia 14'!D26</f>
        <v>9.28</v>
      </c>
      <c r="E26" s="42">
        <f>'Dia 14'!E26</f>
        <v>105</v>
      </c>
      <c r="F26" s="42">
        <f>'Dia 14'!F26</f>
        <v>18.14</v>
      </c>
      <c r="G26" s="42">
        <f>'Dia 14'!H26</f>
        <v>6020</v>
      </c>
      <c r="H26" s="42">
        <f>'Dia 14'!M26</f>
        <v>1934.03747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6">
    <mergeCell ref="B2:C3"/>
    <mergeCell ref="D2:D3"/>
    <mergeCell ref="E2:E3"/>
    <mergeCell ref="F2:F3"/>
    <mergeCell ref="G2:G3"/>
    <mergeCell ref="H2:H3"/>
    <mergeCell ref="B4:B8"/>
    <mergeCell ref="B16:B20"/>
    <mergeCell ref="B22:B26"/>
    <mergeCell ref="B9:C9"/>
    <mergeCell ref="D9:H9"/>
    <mergeCell ref="B10:B14"/>
    <mergeCell ref="B15:C15"/>
    <mergeCell ref="D15:H15"/>
    <mergeCell ref="B21:C21"/>
    <mergeCell ref="D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10" max="12" width="14.13"/>
    <col customWidth="1" min="19" max="19" width="15.0"/>
  </cols>
  <sheetData>
    <row r="1" ht="3.75" customHeight="1"/>
    <row r="2">
      <c r="B2" s="2" t="s">
        <v>1</v>
      </c>
      <c r="C2" s="3"/>
      <c r="D2" s="48" t="s">
        <v>23</v>
      </c>
      <c r="E2" s="49" t="s">
        <v>24</v>
      </c>
      <c r="F2" s="49" t="s">
        <v>25</v>
      </c>
      <c r="G2" s="50" t="s">
        <v>23</v>
      </c>
      <c r="H2" s="51" t="s">
        <v>24</v>
      </c>
      <c r="I2" s="51" t="s">
        <v>25</v>
      </c>
      <c r="J2" s="52" t="s">
        <v>23</v>
      </c>
      <c r="K2" s="53" t="s">
        <v>24</v>
      </c>
      <c r="L2" s="53" t="s">
        <v>25</v>
      </c>
      <c r="M2" s="54" t="s">
        <v>23</v>
      </c>
      <c r="N2" s="55" t="s">
        <v>24</v>
      </c>
      <c r="O2" s="55" t="s">
        <v>25</v>
      </c>
      <c r="P2" s="56" t="s">
        <v>23</v>
      </c>
      <c r="Q2" s="57" t="s">
        <v>24</v>
      </c>
      <c r="R2" s="57" t="s">
        <v>25</v>
      </c>
      <c r="S2" s="58" t="s">
        <v>26</v>
      </c>
    </row>
    <row r="3">
      <c r="C3" s="25"/>
      <c r="D3" s="59" t="s">
        <v>2</v>
      </c>
      <c r="E3" s="60"/>
      <c r="F3" s="3"/>
      <c r="G3" s="61" t="s">
        <v>27</v>
      </c>
      <c r="H3" s="60"/>
      <c r="I3" s="3"/>
      <c r="J3" s="62" t="s">
        <v>28</v>
      </c>
      <c r="K3" s="60"/>
      <c r="L3" s="3"/>
      <c r="M3" s="63" t="s">
        <v>5</v>
      </c>
      <c r="N3" s="60"/>
      <c r="O3" s="60"/>
      <c r="P3" s="64" t="s">
        <v>6</v>
      </c>
      <c r="Q3" s="60"/>
      <c r="R3" s="3"/>
      <c r="S3" s="65"/>
    </row>
    <row r="4">
      <c r="B4" s="9"/>
      <c r="C4" s="10"/>
      <c r="D4" s="39"/>
      <c r="E4" s="9"/>
      <c r="F4" s="10"/>
      <c r="G4" s="39"/>
      <c r="H4" s="9"/>
      <c r="I4" s="10"/>
      <c r="J4" s="39"/>
      <c r="K4" s="9"/>
      <c r="L4" s="10"/>
      <c r="M4" s="39"/>
      <c r="N4" s="9"/>
      <c r="O4" s="9"/>
      <c r="P4" s="39"/>
      <c r="Q4" s="9"/>
      <c r="R4" s="10"/>
      <c r="S4" s="11"/>
    </row>
    <row r="5">
      <c r="B5" s="38" t="s">
        <v>13</v>
      </c>
      <c r="C5" s="7">
        <v>0.0</v>
      </c>
      <c r="D5" s="66">
        <f>'Dia 0'!D4</f>
        <v>8.12</v>
      </c>
      <c r="E5" s="67">
        <f>'Dia 7'!D4</f>
        <v>7.85</v>
      </c>
      <c r="F5" s="67">
        <f>'Dia 14'!D4</f>
        <v>8.87</v>
      </c>
      <c r="G5" s="66">
        <f>'Dia 0'!E4</f>
        <v>0</v>
      </c>
      <c r="H5" s="67">
        <f>'Dia 7'!E4</f>
        <v>8.67</v>
      </c>
      <c r="I5" s="67">
        <f>'Dia 14'!E4</f>
        <v>5.22</v>
      </c>
      <c r="J5" s="66">
        <f>'Dia 0'!F4</f>
        <v>0</v>
      </c>
      <c r="K5" s="67">
        <f>'Dia 7'!F4</f>
        <v>44.1</v>
      </c>
      <c r="L5" s="68">
        <f>'Dia 14'!F4</f>
        <v>267.2</v>
      </c>
      <c r="M5" s="66">
        <f>'Dia 0'!H4</f>
        <v>0</v>
      </c>
      <c r="N5" s="67">
        <f>'Dia 7'!H4</f>
        <v>96</v>
      </c>
      <c r="O5" s="68">
        <f>'Dia 14'!H4</f>
        <v>0</v>
      </c>
      <c r="P5" s="66">
        <f>'Dia 0'!M4</f>
        <v>-3.893</v>
      </c>
      <c r="Q5" s="67">
        <f>'Dia 7'!M4</f>
        <v>40.076851</v>
      </c>
      <c r="R5" s="69">
        <f>'Dia 14'!M4</f>
        <v>35.191312</v>
      </c>
      <c r="S5" s="70">
        <f t="shared" ref="S5:S9" si="1">((P5-R5)/P5)*100</f>
        <v>1003.963833</v>
      </c>
    </row>
    <row r="6">
      <c r="B6" s="65"/>
      <c r="C6" s="7">
        <v>25.0</v>
      </c>
      <c r="D6" s="71">
        <f>'Dia 0'!D5</f>
        <v>9.68</v>
      </c>
      <c r="E6" s="72">
        <f>'Dia 7'!D5</f>
        <v>9.09</v>
      </c>
      <c r="F6" s="72">
        <f>'Dia 14'!D5</f>
        <v>9.11</v>
      </c>
      <c r="G6" s="71">
        <f>'Dia 0'!E5</f>
        <v>21.8</v>
      </c>
      <c r="H6" s="72">
        <f>'Dia 7'!E5</f>
        <v>24.4</v>
      </c>
      <c r="I6" s="72">
        <f>'Dia 14'!E5</f>
        <v>26.1</v>
      </c>
      <c r="J6" s="71">
        <f>'Dia 0'!F5</f>
        <v>4.38</v>
      </c>
      <c r="K6" s="72">
        <f>'Dia 7'!F5</f>
        <v>4.35</v>
      </c>
      <c r="L6" s="73">
        <f>'Dia 14'!F5</f>
        <v>4.23</v>
      </c>
      <c r="M6" s="71">
        <f>'Dia 0'!H5</f>
        <v>1260</v>
      </c>
      <c r="N6" s="72">
        <f>'Dia 7'!H5</f>
        <v>535</v>
      </c>
      <c r="O6" s="73">
        <f>'Dia 14'!H5</f>
        <v>1270</v>
      </c>
      <c r="P6" s="71">
        <f>'Dia 0'!M5</f>
        <v>423.5916625</v>
      </c>
      <c r="Q6" s="72">
        <f>'Dia 7'!M5</f>
        <v>407.3065325</v>
      </c>
      <c r="R6" s="74">
        <f>'Dia 14'!M5</f>
        <v>468.37577</v>
      </c>
      <c r="S6" s="75">
        <f t="shared" si="1"/>
        <v>-10.57247143</v>
      </c>
    </row>
    <row r="7">
      <c r="B7" s="65"/>
      <c r="C7" s="7">
        <v>50.0</v>
      </c>
      <c r="D7" s="71">
        <f>'Dia 0'!D6</f>
        <v>9.57</v>
      </c>
      <c r="E7" s="72">
        <f>'Dia 7'!D6</f>
        <v>90.9</v>
      </c>
      <c r="F7" s="72">
        <f>'Dia 14'!D6</f>
        <v>9.17</v>
      </c>
      <c r="G7" s="71">
        <f>'Dia 0'!E6</f>
        <v>32.2</v>
      </c>
      <c r="H7" s="72">
        <f>'Dia 7'!E6</f>
        <v>36.3</v>
      </c>
      <c r="I7" s="72">
        <f>'Dia 14'!E6</f>
        <v>40.2</v>
      </c>
      <c r="J7" s="71">
        <f>'Dia 0'!F6</f>
        <v>8.31</v>
      </c>
      <c r="K7" s="72">
        <f>'Dia 7'!F6</f>
        <v>8.46</v>
      </c>
      <c r="L7" s="73">
        <f>'Dia 14'!F6</f>
        <v>8.13</v>
      </c>
      <c r="M7" s="71">
        <f>'Dia 0'!H6</f>
        <v>2440</v>
      </c>
      <c r="N7" s="72">
        <f>'Dia 7'!H6</f>
        <v>2050</v>
      </c>
      <c r="O7" s="73">
        <f>'Dia 14'!H6</f>
        <v>2260</v>
      </c>
      <c r="P7" s="71">
        <f>'Dia 0'!M6</f>
        <v>977.2860825</v>
      </c>
      <c r="Q7" s="72">
        <f>'Dia 7'!M6</f>
        <v>961.0009525</v>
      </c>
      <c r="R7" s="74">
        <f>'Dia 14'!M6</f>
        <v>989.49993</v>
      </c>
      <c r="S7" s="75">
        <f t="shared" si="1"/>
        <v>-1.249771967</v>
      </c>
    </row>
    <row r="8">
      <c r="B8" s="65"/>
      <c r="C8" s="7">
        <v>75.0</v>
      </c>
      <c r="D8" s="71">
        <f>'Dia 0'!D7</f>
        <v>9.5</v>
      </c>
      <c r="E8" s="72">
        <f>'Dia 7'!D7</f>
        <v>9.12</v>
      </c>
      <c r="F8" s="72">
        <f>'Dia 14'!D7</f>
        <v>9.26</v>
      </c>
      <c r="G8" s="71">
        <f>'Dia 0'!E7</f>
        <v>40.3</v>
      </c>
      <c r="H8" s="72">
        <f>'Dia 7'!E7</f>
        <v>47.6</v>
      </c>
      <c r="I8" s="72">
        <f>'Dia 14'!E7</f>
        <v>49.6</v>
      </c>
      <c r="J8" s="71">
        <f>'Dia 0'!F7</f>
        <v>12.39</v>
      </c>
      <c r="K8" s="72">
        <f>'Dia 7'!F7</f>
        <v>12.08</v>
      </c>
      <c r="L8" s="73">
        <f>'Dia 14'!F7</f>
        <v>11.52</v>
      </c>
      <c r="M8" s="71">
        <f>'Dia 0'!H7</f>
        <v>3740</v>
      </c>
      <c r="N8" s="72">
        <f>'Dia 7'!H7</f>
        <v>1620</v>
      </c>
      <c r="O8" s="73">
        <f>'Dia 14'!H7</f>
        <v>3300</v>
      </c>
      <c r="P8" s="71">
        <f>'Dia 0'!M7</f>
        <v>1339.630225</v>
      </c>
      <c r="Q8" s="72">
        <f>'Dia 7'!M7</f>
        <v>614.94194</v>
      </c>
      <c r="R8" s="74">
        <f>'Dia 14'!M7</f>
        <v>1339.630225</v>
      </c>
      <c r="S8" s="75">
        <f t="shared" si="1"/>
        <v>0</v>
      </c>
    </row>
    <row r="9">
      <c r="B9" s="11"/>
      <c r="C9" s="76">
        <v>100.0</v>
      </c>
      <c r="D9" s="77">
        <f>'Dia 0'!D8</f>
        <v>9.46</v>
      </c>
      <c r="E9" s="78">
        <f>'Dia 7'!D8</f>
        <v>9.15</v>
      </c>
      <c r="F9" s="78">
        <f>'Dia 14'!D8</f>
        <v>9.33</v>
      </c>
      <c r="G9" s="77">
        <f>'Dia 0'!E8</f>
        <v>46.5</v>
      </c>
      <c r="H9" s="72">
        <f>'Dia 7'!E8</f>
        <v>56.5</v>
      </c>
      <c r="I9" s="72">
        <f>'Dia 14'!E8</f>
        <v>60</v>
      </c>
      <c r="J9" s="71">
        <f>'Dia 0'!F8</f>
        <v>16.02</v>
      </c>
      <c r="K9" s="72">
        <f>'Dia 7'!F8</f>
        <v>14.9</v>
      </c>
      <c r="L9" s="73">
        <f>'Dia 14'!F8</f>
        <v>14.52</v>
      </c>
      <c r="M9" s="71">
        <f>'Dia 0'!H8</f>
        <v>4920</v>
      </c>
      <c r="N9" s="72">
        <f>'Dia 7'!H8</f>
        <v>2050</v>
      </c>
      <c r="O9" s="73">
        <f>'Dia 14'!H8</f>
        <v>4160</v>
      </c>
      <c r="P9" s="71">
        <f>'Dia 0'!M8</f>
        <v>1583.907175</v>
      </c>
      <c r="Q9" s="72">
        <f>'Dia 7'!M8</f>
        <v>822.5773475</v>
      </c>
      <c r="R9" s="74">
        <f>'Dia 14'!M8</f>
        <v>1828.184125</v>
      </c>
      <c r="S9" s="79">
        <f t="shared" si="1"/>
        <v>-15.4224284</v>
      </c>
    </row>
    <row r="10">
      <c r="B10" s="7"/>
      <c r="C10" s="30"/>
      <c r="D10" s="80"/>
      <c r="F10" s="25"/>
      <c r="G10" s="7"/>
      <c r="H10" s="6"/>
      <c r="I10" s="30"/>
      <c r="J10" s="7"/>
      <c r="K10" s="6"/>
      <c r="L10" s="30"/>
      <c r="M10" s="7" t="str">
        <f>'Dia 0'!H9</f>
        <v/>
      </c>
      <c r="N10" s="6"/>
      <c r="O10" s="30"/>
      <c r="P10" s="5" t="str">
        <f>'Dia 0'!M9</f>
        <v/>
      </c>
      <c r="Q10" s="6"/>
      <c r="R10" s="30"/>
      <c r="S10" s="81"/>
    </row>
    <row r="11">
      <c r="B11" s="82" t="s">
        <v>14</v>
      </c>
      <c r="C11" s="7">
        <v>0.0</v>
      </c>
      <c r="D11" s="83">
        <f>'Dia 0'!D10</f>
        <v>8.12</v>
      </c>
      <c r="E11" s="69">
        <f>'Dia 7'!D10</f>
        <v>7.77</v>
      </c>
      <c r="F11" s="69">
        <f>'Dia 14'!D10</f>
        <v>9.25</v>
      </c>
      <c r="G11" s="71">
        <f>'Dia 0'!E10</f>
        <v>0</v>
      </c>
      <c r="H11" s="74">
        <f>'Dia 7'!E10</f>
        <v>1.88</v>
      </c>
      <c r="I11" s="74">
        <f>'Dia 14'!E10</f>
        <v>3.57</v>
      </c>
      <c r="J11" s="71">
        <f>'Dia 0'!F10</f>
        <v>0</v>
      </c>
      <c r="K11" s="74">
        <f>'Dia 7'!F10</f>
        <v>52.5</v>
      </c>
      <c r="L11" s="84">
        <f>'Dia 14'!F10</f>
        <v>227.2</v>
      </c>
      <c r="M11" s="71">
        <f>'Dia 0'!H10</f>
        <v>0</v>
      </c>
      <c r="N11" s="74">
        <f>'Dia 7'!H10</f>
        <v>17</v>
      </c>
      <c r="O11" s="84">
        <f>'Dia 14'!H10</f>
        <v>0</v>
      </c>
      <c r="P11" s="71">
        <f>'Dia 0'!M10</f>
        <v>-3.893</v>
      </c>
      <c r="Q11" s="74">
        <f>'Dia 7'!M10</f>
        <v>9.54223225</v>
      </c>
      <c r="R11" s="74">
        <f>'Dia 14'!M10</f>
        <v>7.09946275</v>
      </c>
      <c r="S11" s="70">
        <f t="shared" ref="S11:S15" si="2">((P11-R11)/P11)*100</f>
        <v>282.3648279</v>
      </c>
    </row>
    <row r="12">
      <c r="B12" s="65"/>
      <c r="C12" s="7">
        <v>25.0</v>
      </c>
      <c r="D12" s="85">
        <f>'Dia 0'!D11</f>
        <v>9.68</v>
      </c>
      <c r="E12" s="74">
        <f>'Dia 7'!D11</f>
        <v>8.98</v>
      </c>
      <c r="F12" s="74">
        <f>'Dia 14'!D11</f>
        <v>9.19</v>
      </c>
      <c r="G12" s="71">
        <f>'Dia 0'!E11</f>
        <v>21.8</v>
      </c>
      <c r="H12" s="74">
        <f>'Dia 7'!E11</f>
        <v>23.5</v>
      </c>
      <c r="I12" s="74">
        <f>'Dia 14'!E11</f>
        <v>24.1</v>
      </c>
      <c r="J12" s="71">
        <f>'Dia 0'!F11</f>
        <v>4.38</v>
      </c>
      <c r="K12" s="74">
        <f>'Dia 7'!F11</f>
        <v>4.14</v>
      </c>
      <c r="L12" s="84">
        <f>'Dia 14'!F11</f>
        <v>4.14</v>
      </c>
      <c r="M12" s="71">
        <f>'Dia 0'!H11</f>
        <v>1260</v>
      </c>
      <c r="N12" s="74">
        <f>'Dia 7'!H11</f>
        <v>490</v>
      </c>
      <c r="O12" s="84">
        <f>'Dia 14'!H11</f>
        <v>990</v>
      </c>
      <c r="P12" s="71">
        <f>'Dia 0'!M11</f>
        <v>423.5916625</v>
      </c>
      <c r="Q12" s="74">
        <f>'Dia 7'!M11</f>
        <v>364.5580663</v>
      </c>
      <c r="R12" s="74">
        <f>'Dia 14'!M11</f>
        <v>549.80142</v>
      </c>
      <c r="S12" s="75">
        <f t="shared" si="2"/>
        <v>-29.79514676</v>
      </c>
    </row>
    <row r="13">
      <c r="B13" s="65"/>
      <c r="C13" s="7">
        <v>50.0</v>
      </c>
      <c r="D13" s="85">
        <f>'Dia 0'!D12</f>
        <v>9.57</v>
      </c>
      <c r="E13" s="74">
        <f>'Dia 7'!D12</f>
        <v>9.1</v>
      </c>
      <c r="F13" s="74">
        <f>'Dia 14'!D12</f>
        <v>9.2</v>
      </c>
      <c r="G13" s="71">
        <f>'Dia 0'!E12</f>
        <v>32.2</v>
      </c>
      <c r="H13" s="74">
        <f>'Dia 7'!E12</f>
        <v>39.9</v>
      </c>
      <c r="I13" s="74">
        <f>'Dia 14'!E12</f>
        <v>42.2</v>
      </c>
      <c r="J13" s="71">
        <f>'Dia 0'!F12</f>
        <v>8.31</v>
      </c>
      <c r="K13" s="74">
        <f>'Dia 7'!F12</f>
        <v>8.44</v>
      </c>
      <c r="L13" s="84">
        <f>'Dia 14'!F12</f>
        <v>8.22</v>
      </c>
      <c r="M13" s="71">
        <f>'Dia 0'!H12</f>
        <v>2440</v>
      </c>
      <c r="N13" s="74">
        <f>'Dia 7'!H12</f>
        <v>2120</v>
      </c>
      <c r="O13" s="84">
        <f>'Dia 14'!H12</f>
        <v>2180</v>
      </c>
      <c r="P13" s="71">
        <f>'Dia 0'!M12</f>
        <v>977.2860825</v>
      </c>
      <c r="Q13" s="74">
        <f>'Dia 7'!M12</f>
        <v>838.8624775</v>
      </c>
      <c r="R13" s="74">
        <f>'Dia 14'!M12</f>
        <v>965.072235</v>
      </c>
      <c r="S13" s="75">
        <f t="shared" si="2"/>
        <v>1.249771967</v>
      </c>
    </row>
    <row r="14">
      <c r="B14" s="65"/>
      <c r="C14" s="7">
        <v>75.0</v>
      </c>
      <c r="D14" s="85">
        <f>'Dia 0'!D13</f>
        <v>9.5</v>
      </c>
      <c r="E14" s="74">
        <f>'Dia 7'!D13</f>
        <v>9.13</v>
      </c>
      <c r="F14" s="74">
        <f>'Dia 14'!D13</f>
        <v>9.27</v>
      </c>
      <c r="G14" s="71">
        <f>'Dia 0'!E13</f>
        <v>40.3</v>
      </c>
      <c r="H14" s="74">
        <f>'Dia 7'!E13</f>
        <v>53.4</v>
      </c>
      <c r="I14" s="74">
        <f>'Dia 14'!E13</f>
        <v>55.5</v>
      </c>
      <c r="J14" s="71">
        <f>'Dia 0'!F13</f>
        <v>12.39</v>
      </c>
      <c r="K14" s="74">
        <f>'Dia 7'!F13</f>
        <v>12.03</v>
      </c>
      <c r="L14" s="84">
        <f>'Dia 14'!F13</f>
        <v>11.36</v>
      </c>
      <c r="M14" s="71">
        <f>'Dia 0'!H13</f>
        <v>3740</v>
      </c>
      <c r="N14" s="74">
        <f>'Dia 7'!H13</f>
        <v>1720</v>
      </c>
      <c r="O14" s="84">
        <f>'Dia 14'!H13</f>
        <v>3520</v>
      </c>
      <c r="P14" s="71">
        <f>'Dia 0'!M13</f>
        <v>1339.630225</v>
      </c>
      <c r="Q14" s="74">
        <f>'Dia 7'!M13</f>
        <v>631.22707</v>
      </c>
      <c r="R14" s="74">
        <f>'Dia 14'!M13</f>
        <v>1388.485615</v>
      </c>
      <c r="S14" s="75">
        <f t="shared" si="2"/>
        <v>-3.646931003</v>
      </c>
    </row>
    <row r="15">
      <c r="B15" s="11"/>
      <c r="C15" s="76">
        <v>100.0</v>
      </c>
      <c r="D15" s="86">
        <f>'Dia 0'!D14</f>
        <v>9.46</v>
      </c>
      <c r="E15" s="87">
        <f>'Dia 7'!D14</f>
        <v>9.16</v>
      </c>
      <c r="F15" s="87">
        <f>'Dia 14'!D14</f>
        <v>9.34</v>
      </c>
      <c r="G15" s="71">
        <f>'Dia 0'!E14</f>
        <v>46.5</v>
      </c>
      <c r="H15" s="74">
        <f>'Dia 7'!E14</f>
        <v>62</v>
      </c>
      <c r="I15" s="74">
        <f>'Dia 14'!E14</f>
        <v>73.8</v>
      </c>
      <c r="J15" s="71">
        <f>'Dia 0'!F14</f>
        <v>16.02</v>
      </c>
      <c r="K15" s="74">
        <f>'Dia 7'!F14</f>
        <v>15.2</v>
      </c>
      <c r="L15" s="84">
        <f>'Dia 14'!F14</f>
        <v>14.61</v>
      </c>
      <c r="M15" s="71">
        <f>'Dia 0'!H14</f>
        <v>4920</v>
      </c>
      <c r="N15" s="74">
        <f>'Dia 7'!H14</f>
        <v>2110</v>
      </c>
      <c r="O15" s="84">
        <f>'Dia 14'!H14</f>
        <v>4540</v>
      </c>
      <c r="P15" s="71">
        <f>'Dia 0'!M14</f>
        <v>1583.907175</v>
      </c>
      <c r="Q15" s="74">
        <f>'Dia 7'!M14</f>
        <v>798.1496525</v>
      </c>
      <c r="R15" s="74">
        <f>'Dia 14'!M14</f>
        <v>2267.882635</v>
      </c>
      <c r="S15" s="79">
        <f t="shared" si="2"/>
        <v>-43.18279952</v>
      </c>
    </row>
    <row r="16">
      <c r="B16" s="88"/>
      <c r="C16" s="30"/>
      <c r="D16" s="89"/>
      <c r="F16" s="25"/>
      <c r="G16" s="88"/>
      <c r="H16" s="6"/>
      <c r="I16" s="30"/>
      <c r="J16" s="88" t="str">
        <f>'Dia 0'!F15</f>
        <v/>
      </c>
      <c r="K16" s="6"/>
      <c r="L16" s="30"/>
      <c r="M16" s="7" t="str">
        <f>'Dia 0'!H15</f>
        <v/>
      </c>
      <c r="N16" s="6"/>
      <c r="O16" s="30"/>
      <c r="P16" s="5" t="str">
        <f>'Dia 0'!M15</f>
        <v/>
      </c>
      <c r="Q16" s="6"/>
      <c r="R16" s="30"/>
      <c r="S16" s="81"/>
    </row>
    <row r="17">
      <c r="B17" s="82" t="s">
        <v>18</v>
      </c>
      <c r="C17" s="7">
        <v>0.0</v>
      </c>
      <c r="D17" s="83">
        <f>'Dia 0'!D16</f>
        <v>8.12</v>
      </c>
      <c r="E17" s="69">
        <f>'Dia 7'!D16</f>
        <v>7.85</v>
      </c>
      <c r="F17" s="69">
        <f>'Dia 14'!D16</f>
        <v>8.55</v>
      </c>
      <c r="G17" s="71">
        <f>'Dia 0'!E16</f>
        <v>0</v>
      </c>
      <c r="H17" s="74">
        <f>'Dia 7'!E16</f>
        <v>8.67</v>
      </c>
      <c r="I17" s="74">
        <f>'Dia 14'!E16</f>
        <v>4.85</v>
      </c>
      <c r="J17" s="71">
        <f>'Dia 0'!F16</f>
        <v>0</v>
      </c>
      <c r="K17" s="74">
        <f>'Dia 7'!F16</f>
        <v>44.1</v>
      </c>
      <c r="L17" s="84">
        <f>'Dia 14'!F16</f>
        <v>259.8</v>
      </c>
      <c r="M17" s="71">
        <f>'Dia 0'!H16</f>
        <v>0</v>
      </c>
      <c r="N17" s="74">
        <f>'Dia 7'!H16</f>
        <v>96</v>
      </c>
      <c r="O17" s="84">
        <f>'Dia 14'!H16</f>
        <v>0</v>
      </c>
      <c r="P17" s="71">
        <f>'Dia 0'!M16</f>
        <v>-3.893</v>
      </c>
      <c r="Q17" s="74">
        <f>'Dia 7'!M16</f>
        <v>44.55526175</v>
      </c>
      <c r="R17" s="74">
        <f>'Dia 14'!M16</f>
        <v>53.9192115</v>
      </c>
      <c r="S17" s="70">
        <f t="shared" ref="S17:S21" si="3">((P17-R17)/P17)*100</f>
        <v>1485.029836</v>
      </c>
    </row>
    <row r="18">
      <c r="B18" s="65"/>
      <c r="C18" s="7">
        <v>25.0</v>
      </c>
      <c r="D18" s="85">
        <f>'Dia 0'!D17</f>
        <v>8.07</v>
      </c>
      <c r="E18" s="74">
        <f>'Dia 7'!D17</f>
        <v>8.97</v>
      </c>
      <c r="F18" s="74">
        <f>'Dia 14'!D17</f>
        <v>9.18</v>
      </c>
      <c r="G18" s="71">
        <f>'Dia 0'!E17</f>
        <v>22.9</v>
      </c>
      <c r="H18" s="74">
        <f>'Dia 7'!E17</f>
        <v>46.6</v>
      </c>
      <c r="I18" s="74">
        <f>'Dia 14'!E17</f>
        <v>19.7</v>
      </c>
      <c r="J18" s="71">
        <f>'Dia 0'!F17</f>
        <v>7.65</v>
      </c>
      <c r="K18" s="74">
        <f>'Dia 7'!F17</f>
        <v>6.6</v>
      </c>
      <c r="L18" s="84">
        <f>'Dia 14'!F17</f>
        <v>5.96</v>
      </c>
      <c r="M18" s="71">
        <f>'Dia 0'!H17</f>
        <v>1280</v>
      </c>
      <c r="N18" s="74">
        <f>'Dia 7'!H17</f>
        <v>885</v>
      </c>
      <c r="O18" s="84">
        <f>'Dia 14'!H17</f>
        <v>1540</v>
      </c>
      <c r="P18" s="71">
        <f>'Dia 0'!M17</f>
        <v>498.9103888</v>
      </c>
      <c r="Q18" s="74">
        <f>'Dia 7'!M17</f>
        <v>535.5519313</v>
      </c>
      <c r="R18" s="74">
        <f>'Dia 14'!M17</f>
        <v>635.2983525</v>
      </c>
      <c r="S18" s="75">
        <f t="shared" si="3"/>
        <v>-27.33716652</v>
      </c>
    </row>
    <row r="19">
      <c r="B19" s="65"/>
      <c r="C19" s="7">
        <v>50.0</v>
      </c>
      <c r="D19" s="85">
        <f>'Dia 0'!D18</f>
        <v>8.01</v>
      </c>
      <c r="E19" s="74">
        <f>'Dia 7'!D18</f>
        <v>9.02</v>
      </c>
      <c r="F19" s="74">
        <f>'Dia 14'!D18</f>
        <v>8.95</v>
      </c>
      <c r="G19" s="71">
        <f>'Dia 0'!E18</f>
        <v>39.9</v>
      </c>
      <c r="H19" s="74">
        <f>'Dia 7'!E18</f>
        <v>83.4</v>
      </c>
      <c r="I19" s="74">
        <f>'Dia 14'!E18</f>
        <v>171</v>
      </c>
      <c r="J19" s="71">
        <f>'Dia 0'!F18</f>
        <v>13.53</v>
      </c>
      <c r="K19" s="74">
        <f>'Dia 7'!F18</f>
        <v>13.75</v>
      </c>
      <c r="L19" s="84">
        <f>'Dia 14'!F18</f>
        <v>13.56</v>
      </c>
      <c r="M19" s="71">
        <f>'Dia 0'!H18</f>
        <v>2370</v>
      </c>
      <c r="N19" s="74">
        <f>'Dia 7'!H18</f>
        <v>3640</v>
      </c>
      <c r="O19" s="84">
        <f>'Dia 14'!H18</f>
        <v>2830</v>
      </c>
      <c r="P19" s="71">
        <f>'Dia 0'!M18</f>
        <v>1005.78506</v>
      </c>
      <c r="Q19" s="74">
        <f>'Dia 7'!M18</f>
        <v>1140.137383</v>
      </c>
      <c r="R19" s="74">
        <f>'Dia 14'!M18</f>
        <v>1665.332825</v>
      </c>
      <c r="S19" s="75">
        <f t="shared" si="3"/>
        <v>-65.57541877</v>
      </c>
    </row>
    <row r="20">
      <c r="B20" s="65"/>
      <c r="C20" s="7">
        <v>75.0</v>
      </c>
      <c r="D20" s="85">
        <f>'Dia 0'!D19</f>
        <v>7.91</v>
      </c>
      <c r="E20" s="74">
        <f>'Dia 7'!D19</f>
        <v>9.01</v>
      </c>
      <c r="F20" s="74">
        <f>'Dia 14'!D19</f>
        <v>9.3</v>
      </c>
      <c r="G20" s="71">
        <f>'Dia 0'!E19</f>
        <v>142</v>
      </c>
      <c r="H20" s="74">
        <f>'Dia 7'!E19</f>
        <v>72.1</v>
      </c>
      <c r="I20" s="74">
        <f>'Dia 14'!E19</f>
        <v>90.3</v>
      </c>
      <c r="J20" s="71">
        <f>'Dia 0'!F19</f>
        <v>28.84</v>
      </c>
      <c r="K20" s="74">
        <f>'Dia 7'!F19</f>
        <v>15.7</v>
      </c>
      <c r="L20" s="84">
        <f>'Dia 14'!F19</f>
        <v>13.81</v>
      </c>
      <c r="M20" s="71">
        <f>'Dia 0'!H19</f>
        <v>5360</v>
      </c>
      <c r="N20" s="74">
        <f>'Dia 7'!H19</f>
        <v>2070</v>
      </c>
      <c r="O20" s="84">
        <f>'Dia 14'!H19</f>
        <v>4380</v>
      </c>
      <c r="P20" s="71">
        <f>'Dia 0'!M19</f>
        <v>2219.027245</v>
      </c>
      <c r="Q20" s="74">
        <f>'Dia 7'!M19</f>
        <v>655.654765</v>
      </c>
      <c r="R20" s="74">
        <f>'Dia 14'!M19</f>
        <v>1339.630225</v>
      </c>
      <c r="S20" s="75">
        <f t="shared" si="3"/>
        <v>39.6298433</v>
      </c>
    </row>
    <row r="21">
      <c r="B21" s="11"/>
      <c r="C21" s="76">
        <v>100.0</v>
      </c>
      <c r="D21" s="86">
        <f>'Dia 0'!D20</f>
        <v>7.91</v>
      </c>
      <c r="E21" s="87">
        <f>'Dia 7'!D20</f>
        <v>8.96</v>
      </c>
      <c r="F21" s="87">
        <f>'Dia 14'!D20</f>
        <v>9.29</v>
      </c>
      <c r="G21" s="71">
        <f>'Dia 0'!E20</f>
        <v>233</v>
      </c>
      <c r="H21" s="74">
        <f>'Dia 7'!E20</f>
        <v>184</v>
      </c>
      <c r="I21" s="74">
        <f>'Dia 14'!E20</f>
        <v>22.3</v>
      </c>
      <c r="J21" s="71">
        <f>'Dia 0'!F20</f>
        <v>31.9</v>
      </c>
      <c r="K21" s="74">
        <f>'Dia 7'!F20</f>
        <v>23.44</v>
      </c>
      <c r="L21" s="84">
        <f>'Dia 14'!F20</f>
        <v>20.95</v>
      </c>
      <c r="M21" s="71">
        <f>'Dia 0'!H20</f>
        <v>6520</v>
      </c>
      <c r="N21" s="74">
        <f>'Dia 7'!H20</f>
        <v>6940</v>
      </c>
      <c r="O21" s="84">
        <f>'Dia 14'!H20</f>
        <v>7800</v>
      </c>
      <c r="P21" s="71">
        <f>'Dia 0'!M20</f>
        <v>2430.733935</v>
      </c>
      <c r="Q21" s="74">
        <f>'Dia 7'!M20</f>
        <v>1209.349185</v>
      </c>
      <c r="R21" s="74">
        <f>'Dia 14'!M20</f>
        <v>2373.73598</v>
      </c>
      <c r="S21" s="79">
        <f t="shared" si="3"/>
        <v>2.344886628</v>
      </c>
    </row>
    <row r="22">
      <c r="B22" s="7"/>
      <c r="C22" s="30"/>
      <c r="D22" s="80"/>
      <c r="F22" s="25"/>
      <c r="G22" s="7"/>
      <c r="H22" s="6"/>
      <c r="I22" s="30"/>
      <c r="J22" s="88"/>
      <c r="K22" s="6"/>
      <c r="L22" s="30"/>
      <c r="M22" s="7" t="str">
        <f>'Dia 0'!H21</f>
        <v/>
      </c>
      <c r="N22" s="6"/>
      <c r="O22" s="30"/>
      <c r="P22" s="5" t="str">
        <f>'Dia 0'!M21</f>
        <v/>
      </c>
      <c r="Q22" s="6"/>
      <c r="R22" s="30"/>
      <c r="S22" s="81"/>
    </row>
    <row r="23">
      <c r="B23" s="38" t="s">
        <v>19</v>
      </c>
      <c r="C23" s="7">
        <v>0.0</v>
      </c>
      <c r="D23" s="83">
        <f>'Dia 0'!D22</f>
        <v>8.12</v>
      </c>
      <c r="E23" s="69">
        <f>'Dia 7'!D22</f>
        <v>7.77</v>
      </c>
      <c r="F23" s="69">
        <f>'Dia 14'!D22</f>
        <v>8.69</v>
      </c>
      <c r="G23" s="71">
        <f>'Dia 0'!E22</f>
        <v>0</v>
      </c>
      <c r="H23" s="74">
        <f>'Dia 7'!E22</f>
        <v>1.88</v>
      </c>
      <c r="I23" s="74">
        <f>'Dia 14'!E22</f>
        <v>2.01</v>
      </c>
      <c r="J23" s="71">
        <f>'Dia 0'!F22</f>
        <v>0</v>
      </c>
      <c r="K23" s="74">
        <f>'Dia 7'!F22</f>
        <v>52.5</v>
      </c>
      <c r="L23" s="84">
        <f>'Dia 14'!F22</f>
        <v>241.1</v>
      </c>
      <c r="M23" s="71">
        <f>'Dia 0'!H22</f>
        <v>0</v>
      </c>
      <c r="N23" s="74">
        <f>'Dia 7'!H22</f>
        <v>17</v>
      </c>
      <c r="O23" s="84">
        <f>'Dia 14'!H22</f>
        <v>0</v>
      </c>
      <c r="P23" s="66">
        <f>'Dia 0'!M22</f>
        <v>-3.893</v>
      </c>
      <c r="Q23" s="69">
        <f>'Dia 7'!M22</f>
        <v>15.649156</v>
      </c>
      <c r="R23" s="69">
        <f>'Dia 14'!M22</f>
        <v>9.9493605</v>
      </c>
      <c r="S23" s="70">
        <f t="shared" ref="S23:S27" si="4">((P23-R23)/P23)*100</f>
        <v>355.570524</v>
      </c>
    </row>
    <row r="24">
      <c r="B24" s="65"/>
      <c r="C24" s="7">
        <v>25.0</v>
      </c>
      <c r="D24" s="85">
        <f>'Dia 0'!D23</f>
        <v>8.07</v>
      </c>
      <c r="E24" s="74" t="str">
        <f>'Dia 7'!D23</f>
        <v>8,,98</v>
      </c>
      <c r="F24" s="74">
        <f>'Dia 14'!D23</f>
        <v>9.21</v>
      </c>
      <c r="G24" s="71">
        <f>'Dia 0'!E23</f>
        <v>22.9</v>
      </c>
      <c r="H24" s="74">
        <f>'Dia 7'!E23</f>
        <v>38.7</v>
      </c>
      <c r="I24" s="74">
        <f>'Dia 14'!E23</f>
        <v>32.2</v>
      </c>
      <c r="J24" s="71">
        <f>'Dia 0'!F23</f>
        <v>7.65</v>
      </c>
      <c r="K24" s="74">
        <f>'Dia 7'!F23</f>
        <v>6.63</v>
      </c>
      <c r="L24" s="84">
        <f>'Dia 14'!F23</f>
        <v>5.83</v>
      </c>
      <c r="M24" s="71">
        <f>'Dia 0'!H23</f>
        <v>1280</v>
      </c>
      <c r="N24" s="74">
        <f>'Dia 7'!H23</f>
        <v>820</v>
      </c>
      <c r="O24" s="84">
        <f>'Dia 14'!H23</f>
        <v>1600</v>
      </c>
      <c r="P24" s="71">
        <f>'Dia 0'!M23</f>
        <v>498.9103888</v>
      </c>
      <c r="Q24" s="74">
        <f>'Dia 7'!M23</f>
        <v>513.1598775</v>
      </c>
      <c r="R24" s="74">
        <f>'Dia 14'!M23</f>
        <v>549.80142</v>
      </c>
      <c r="S24" s="75">
        <f t="shared" si="4"/>
        <v>-10.20043527</v>
      </c>
    </row>
    <row r="25">
      <c r="B25" s="65"/>
      <c r="C25" s="7">
        <v>50.0</v>
      </c>
      <c r="D25" s="85">
        <f>'Dia 0'!D24</f>
        <v>8.01</v>
      </c>
      <c r="E25" s="74">
        <f>'Dia 7'!D24</f>
        <v>9.02</v>
      </c>
      <c r="F25" s="74">
        <f>'Dia 14'!D24</f>
        <v>9.19</v>
      </c>
      <c r="G25" s="71">
        <f>'Dia 0'!E24</f>
        <v>39.9</v>
      </c>
      <c r="H25" s="74">
        <f>'Dia 7'!E24</f>
        <v>84.3</v>
      </c>
      <c r="I25" s="74">
        <f>'Dia 14'!E24</f>
        <v>98.9</v>
      </c>
      <c r="J25" s="71">
        <f>'Dia 0'!F24</f>
        <v>13.53</v>
      </c>
      <c r="K25" s="74">
        <f>'Dia 7'!F24</f>
        <v>13.9</v>
      </c>
      <c r="L25" s="84">
        <f>'Dia 14'!F24</f>
        <v>12.27</v>
      </c>
      <c r="M25" s="71">
        <f>'Dia 0'!H24</f>
        <v>2370</v>
      </c>
      <c r="N25" s="74">
        <f>'Dia 7'!H24</f>
        <v>3800</v>
      </c>
      <c r="O25" s="84">
        <f>'Dia 14'!H24</f>
        <v>3900</v>
      </c>
      <c r="P25" s="71">
        <f>'Dia 0'!M24</f>
        <v>1005.78506</v>
      </c>
      <c r="Q25" s="74">
        <f>'Dia 7'!M24</f>
        <v>1217.49175</v>
      </c>
      <c r="R25" s="74">
        <f>'Dia 14'!M24</f>
        <v>1347.77279</v>
      </c>
      <c r="S25" s="75">
        <f t="shared" si="4"/>
        <v>-34.00206899</v>
      </c>
    </row>
    <row r="26">
      <c r="B26" s="65"/>
      <c r="C26" s="7">
        <v>75.0</v>
      </c>
      <c r="D26" s="85">
        <f>'Dia 0'!D25</f>
        <v>7.91</v>
      </c>
      <c r="E26" s="74">
        <f>'Dia 7'!D25</f>
        <v>9.01</v>
      </c>
      <c r="F26" s="74">
        <f>'Dia 14'!D25</f>
        <v>9.29</v>
      </c>
      <c r="G26" s="71">
        <f>'Dia 0'!E25</f>
        <v>142</v>
      </c>
      <c r="H26" s="74">
        <f>'Dia 7'!E25</f>
        <v>95.3</v>
      </c>
      <c r="I26" s="74">
        <f>'Dia 14'!E25</f>
        <v>132</v>
      </c>
      <c r="J26" s="71">
        <f>'Dia 0'!F25</f>
        <v>28.84</v>
      </c>
      <c r="K26" s="74">
        <f>'Dia 7'!F25</f>
        <v>20.87</v>
      </c>
      <c r="L26" s="84">
        <f>'Dia 14'!F25</f>
        <v>18.54</v>
      </c>
      <c r="M26" s="71">
        <f>'Dia 0'!H25</f>
        <v>5360</v>
      </c>
      <c r="N26" s="74">
        <f>'Dia 7'!H25</f>
        <v>2780</v>
      </c>
      <c r="O26" s="84">
        <f>'Dia 14'!H25</f>
        <v>6140</v>
      </c>
      <c r="P26" s="71">
        <f>'Dia 0'!M25</f>
        <v>2219.027245</v>
      </c>
      <c r="Q26" s="74">
        <f>'Dia 7'!M25</f>
        <v>1050.569168</v>
      </c>
      <c r="R26" s="74">
        <f>'Dia 14'!M25</f>
        <v>2251.597505</v>
      </c>
      <c r="S26" s="75">
        <f t="shared" si="4"/>
        <v>-1.467771974</v>
      </c>
    </row>
    <row r="27">
      <c r="B27" s="11"/>
      <c r="C27" s="76">
        <v>100.0</v>
      </c>
      <c r="D27" s="86">
        <f>'Dia 0'!D26</f>
        <v>7.91</v>
      </c>
      <c r="E27" s="87">
        <f>'Dia 7'!D26</f>
        <v>9</v>
      </c>
      <c r="F27" s="87">
        <f>'Dia 14'!D26</f>
        <v>9.28</v>
      </c>
      <c r="G27" s="77">
        <f>'Dia 0'!E26</f>
        <v>233</v>
      </c>
      <c r="H27" s="87">
        <f>'Dia 7'!E26</f>
        <v>96.7</v>
      </c>
      <c r="I27" s="87">
        <f>'Dia 14'!E26</f>
        <v>105</v>
      </c>
      <c r="J27" s="77">
        <f>'Dia 0'!F26</f>
        <v>31.9</v>
      </c>
      <c r="K27" s="87">
        <f>'Dia 7'!F26</f>
        <v>20.91</v>
      </c>
      <c r="L27" s="90">
        <f>'Dia 14'!F26</f>
        <v>18.14</v>
      </c>
      <c r="M27" s="77">
        <f>'Dia 0'!H26</f>
        <v>6520</v>
      </c>
      <c r="N27" s="87">
        <f>'Dia 7'!H26</f>
        <v>2890</v>
      </c>
      <c r="O27" s="90">
        <f>'Dia 14'!H26</f>
        <v>6020</v>
      </c>
      <c r="P27" s="77">
        <f>'Dia 0'!M26</f>
        <v>2430.733935</v>
      </c>
      <c r="Q27" s="87">
        <f>'Dia 7'!M26</f>
        <v>1046.497885</v>
      </c>
      <c r="R27" s="87">
        <f>'Dia 14'!M26</f>
        <v>1934.03747</v>
      </c>
      <c r="S27" s="79">
        <f t="shared" si="4"/>
        <v>20.43401204</v>
      </c>
    </row>
  </sheetData>
  <mergeCells count="29">
    <mergeCell ref="B2:C4"/>
    <mergeCell ref="S2:S4"/>
    <mergeCell ref="D3:F4"/>
    <mergeCell ref="G3:I4"/>
    <mergeCell ref="J3:L4"/>
    <mergeCell ref="M3:O4"/>
    <mergeCell ref="P3:R4"/>
    <mergeCell ref="B5:B9"/>
    <mergeCell ref="B10:C10"/>
    <mergeCell ref="D10:F10"/>
    <mergeCell ref="G10:I10"/>
    <mergeCell ref="J10:L10"/>
    <mergeCell ref="M10:O10"/>
    <mergeCell ref="P10:R10"/>
    <mergeCell ref="B17:B21"/>
    <mergeCell ref="B22:C22"/>
    <mergeCell ref="D22:F22"/>
    <mergeCell ref="G22:I22"/>
    <mergeCell ref="J22:L22"/>
    <mergeCell ref="M22:O22"/>
    <mergeCell ref="P22:R22"/>
    <mergeCell ref="B23:B27"/>
    <mergeCell ref="B11:B15"/>
    <mergeCell ref="B16:C16"/>
    <mergeCell ref="D16:F16"/>
    <mergeCell ref="G16:I16"/>
    <mergeCell ref="J16:L16"/>
    <mergeCell ref="M16:O16"/>
    <mergeCell ref="P16:R1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0.38"/>
    <col customWidth="1" min="13" max="13" width="6.25"/>
    <col customWidth="1" min="21" max="21" width="3.5"/>
    <col customWidth="1" min="29" max="29" width="3.13"/>
  </cols>
  <sheetData>
    <row r="1" ht="2.25" customHeight="1"/>
    <row r="2">
      <c r="B2" s="38" t="s">
        <v>13</v>
      </c>
      <c r="C2" s="49" t="s">
        <v>23</v>
      </c>
      <c r="D2" s="49" t="s">
        <v>24</v>
      </c>
      <c r="E2" s="49" t="s">
        <v>25</v>
      </c>
      <c r="I2" s="38" t="s">
        <v>14</v>
      </c>
      <c r="J2" s="49" t="s">
        <v>23</v>
      </c>
      <c r="K2" s="49" t="s">
        <v>24</v>
      </c>
      <c r="L2" s="49" t="s">
        <v>25</v>
      </c>
      <c r="Q2" s="38" t="s">
        <v>18</v>
      </c>
      <c r="R2" s="49" t="s">
        <v>23</v>
      </c>
      <c r="S2" s="49" t="s">
        <v>24</v>
      </c>
      <c r="T2" s="49" t="s">
        <v>25</v>
      </c>
      <c r="Y2" s="38" t="s">
        <v>29</v>
      </c>
      <c r="Z2" s="49" t="s">
        <v>23</v>
      </c>
      <c r="AA2" s="49" t="s">
        <v>24</v>
      </c>
      <c r="AB2" s="49" t="s">
        <v>25</v>
      </c>
      <c r="AC2" s="72"/>
      <c r="AD2" s="72"/>
      <c r="AE2" s="72"/>
      <c r="AF2" s="72"/>
      <c r="AG2" s="72"/>
      <c r="AH2" s="72"/>
      <c r="AI2" s="72"/>
    </row>
    <row r="3">
      <c r="B3" s="11"/>
      <c r="C3" s="91" t="s">
        <v>2</v>
      </c>
      <c r="D3" s="6"/>
      <c r="E3" s="30"/>
      <c r="I3" s="11"/>
      <c r="J3" s="91" t="s">
        <v>2</v>
      </c>
      <c r="K3" s="6"/>
      <c r="L3" s="30"/>
      <c r="Q3" s="11"/>
      <c r="R3" s="91" t="s">
        <v>2</v>
      </c>
      <c r="S3" s="6"/>
      <c r="T3" s="30"/>
      <c r="Y3" s="11"/>
      <c r="Z3" s="91" t="s">
        <v>2</v>
      </c>
      <c r="AA3" s="6"/>
      <c r="AB3" s="30"/>
      <c r="AC3" s="72"/>
      <c r="AD3" s="72"/>
      <c r="AE3" s="72"/>
      <c r="AF3" s="72"/>
      <c r="AG3" s="72"/>
      <c r="AH3" s="72"/>
      <c r="AI3" s="72"/>
    </row>
    <row r="4">
      <c r="B4" s="13">
        <v>0.0</v>
      </c>
      <c r="C4" s="20">
        <f>PROCESSAMENTO!D5</f>
        <v>8.12</v>
      </c>
      <c r="D4" s="20">
        <f>PROCESSAMENTO!E5</f>
        <v>7.85</v>
      </c>
      <c r="E4" s="20">
        <f>PROCESSAMENTO!F5</f>
        <v>8.87</v>
      </c>
      <c r="I4" s="13">
        <v>0.0</v>
      </c>
      <c r="J4" s="20">
        <f>PROCESSAMENTO!D11</f>
        <v>8.12</v>
      </c>
      <c r="K4" s="20">
        <f>PROCESSAMENTO!E11</f>
        <v>7.77</v>
      </c>
      <c r="L4" s="20">
        <f>PROCESSAMENTO!F11</f>
        <v>9.25</v>
      </c>
      <c r="Q4" s="13">
        <v>0.0</v>
      </c>
      <c r="R4" s="20">
        <f>PROCESSAMENTO!D17</f>
        <v>8.12</v>
      </c>
      <c r="S4" s="20">
        <f>PROCESSAMENTO!E17</f>
        <v>7.85</v>
      </c>
      <c r="T4" s="20">
        <f>PROCESSAMENTO!F17</f>
        <v>8.55</v>
      </c>
      <c r="Y4" s="13">
        <v>0.0</v>
      </c>
      <c r="Z4" s="20">
        <f>PROCESSAMENTO!D23</f>
        <v>8.12</v>
      </c>
      <c r="AA4" s="20">
        <f>PROCESSAMENTO!E23</f>
        <v>7.77</v>
      </c>
      <c r="AB4" s="20">
        <f>PROCESSAMENTO!F23</f>
        <v>8.69</v>
      </c>
      <c r="AC4" s="72"/>
      <c r="AD4" s="72"/>
      <c r="AE4" s="72"/>
      <c r="AF4" s="72"/>
      <c r="AG4" s="72"/>
      <c r="AH4" s="72"/>
      <c r="AI4" s="72"/>
    </row>
    <row r="5">
      <c r="B5" s="13">
        <v>25.0</v>
      </c>
      <c r="C5" s="20">
        <f>PROCESSAMENTO!D6</f>
        <v>9.68</v>
      </c>
      <c r="D5" s="20">
        <f>PROCESSAMENTO!E6</f>
        <v>9.09</v>
      </c>
      <c r="E5" s="20">
        <f>PROCESSAMENTO!F6</f>
        <v>9.11</v>
      </c>
      <c r="I5" s="13">
        <v>25.0</v>
      </c>
      <c r="J5" s="20">
        <f>PROCESSAMENTO!D12</f>
        <v>9.68</v>
      </c>
      <c r="K5" s="20">
        <f>PROCESSAMENTO!E12</f>
        <v>8.98</v>
      </c>
      <c r="L5" s="20">
        <f>PROCESSAMENTO!F12</f>
        <v>9.19</v>
      </c>
      <c r="Q5" s="13">
        <v>25.0</v>
      </c>
      <c r="R5" s="20">
        <f>PROCESSAMENTO!D18</f>
        <v>8.07</v>
      </c>
      <c r="S5" s="20">
        <f>PROCESSAMENTO!E18</f>
        <v>8.97</v>
      </c>
      <c r="T5" s="20">
        <f>PROCESSAMENTO!F18</f>
        <v>9.18</v>
      </c>
      <c r="Y5" s="13">
        <v>25.0</v>
      </c>
      <c r="Z5" s="20">
        <f>PROCESSAMENTO!D24</f>
        <v>8.07</v>
      </c>
      <c r="AA5" s="20" t="str">
        <f>PROCESSAMENTO!E24</f>
        <v>8,,98</v>
      </c>
      <c r="AB5" s="20">
        <f>PROCESSAMENTO!F24</f>
        <v>9.21</v>
      </c>
      <c r="AC5" s="72"/>
      <c r="AD5" s="72"/>
      <c r="AE5" s="72"/>
      <c r="AF5" s="72"/>
      <c r="AG5" s="72"/>
      <c r="AH5" s="72"/>
      <c r="AI5" s="72"/>
    </row>
    <row r="6">
      <c r="B6" s="13">
        <v>50.0</v>
      </c>
      <c r="C6" s="20">
        <f>PROCESSAMENTO!D7</f>
        <v>9.57</v>
      </c>
      <c r="D6" s="20">
        <f>PROCESSAMENTO!E7</f>
        <v>90.9</v>
      </c>
      <c r="E6" s="20">
        <f>PROCESSAMENTO!F7</f>
        <v>9.17</v>
      </c>
      <c r="I6" s="13">
        <v>50.0</v>
      </c>
      <c r="J6" s="20">
        <f>PROCESSAMENTO!D13</f>
        <v>9.57</v>
      </c>
      <c r="K6" s="20">
        <f>PROCESSAMENTO!E13</f>
        <v>9.1</v>
      </c>
      <c r="L6" s="20">
        <f>PROCESSAMENTO!F13</f>
        <v>9.2</v>
      </c>
      <c r="Q6" s="13">
        <v>50.0</v>
      </c>
      <c r="R6" s="20">
        <f>PROCESSAMENTO!D19</f>
        <v>8.01</v>
      </c>
      <c r="S6" s="20">
        <f>PROCESSAMENTO!E19</f>
        <v>9.02</v>
      </c>
      <c r="T6" s="20">
        <f>PROCESSAMENTO!F19</f>
        <v>8.95</v>
      </c>
      <c r="Y6" s="13">
        <v>50.0</v>
      </c>
      <c r="Z6" s="20">
        <f>PROCESSAMENTO!D25</f>
        <v>8.01</v>
      </c>
      <c r="AA6" s="20">
        <f>PROCESSAMENTO!E25</f>
        <v>9.02</v>
      </c>
      <c r="AB6" s="20">
        <f>PROCESSAMENTO!F25</f>
        <v>9.19</v>
      </c>
      <c r="AC6" s="72"/>
      <c r="AD6" s="72"/>
      <c r="AE6" s="72"/>
      <c r="AF6" s="72"/>
      <c r="AG6" s="72"/>
      <c r="AH6" s="72"/>
      <c r="AI6" s="72"/>
    </row>
    <row r="7">
      <c r="B7" s="13">
        <v>75.0</v>
      </c>
      <c r="C7" s="20">
        <f>PROCESSAMENTO!D8</f>
        <v>9.5</v>
      </c>
      <c r="D7" s="20">
        <f>PROCESSAMENTO!E8</f>
        <v>9.12</v>
      </c>
      <c r="E7" s="20">
        <f>PROCESSAMENTO!F8</f>
        <v>9.26</v>
      </c>
      <c r="I7" s="13">
        <v>75.0</v>
      </c>
      <c r="J7" s="20">
        <f>PROCESSAMENTO!D14</f>
        <v>9.5</v>
      </c>
      <c r="K7" s="20">
        <f>PROCESSAMENTO!E14</f>
        <v>9.13</v>
      </c>
      <c r="L7" s="20">
        <f>PROCESSAMENTO!F14</f>
        <v>9.27</v>
      </c>
      <c r="Q7" s="13">
        <v>75.0</v>
      </c>
      <c r="R7" s="20">
        <f>PROCESSAMENTO!D20</f>
        <v>7.91</v>
      </c>
      <c r="S7" s="20">
        <f>PROCESSAMENTO!E20</f>
        <v>9.01</v>
      </c>
      <c r="T7" s="20">
        <f>PROCESSAMENTO!F20</f>
        <v>9.3</v>
      </c>
      <c r="Y7" s="13">
        <v>75.0</v>
      </c>
      <c r="Z7" s="20">
        <f>PROCESSAMENTO!D26</f>
        <v>7.91</v>
      </c>
      <c r="AA7" s="20">
        <f>PROCESSAMENTO!E26</f>
        <v>9.01</v>
      </c>
      <c r="AB7" s="20">
        <f>PROCESSAMENTO!F26</f>
        <v>9.29</v>
      </c>
      <c r="AC7" s="72"/>
      <c r="AD7" s="72"/>
      <c r="AE7" s="72"/>
      <c r="AF7" s="72"/>
      <c r="AG7" s="72"/>
      <c r="AH7" s="72"/>
      <c r="AI7" s="72"/>
    </row>
    <row r="8">
      <c r="B8" s="92">
        <v>100.0</v>
      </c>
      <c r="C8" s="20">
        <f>PROCESSAMENTO!D9</f>
        <v>9.46</v>
      </c>
      <c r="D8" s="20">
        <f>PROCESSAMENTO!E9</f>
        <v>9.15</v>
      </c>
      <c r="E8" s="20">
        <f>PROCESSAMENTO!F9</f>
        <v>9.33</v>
      </c>
      <c r="I8" s="92">
        <v>100.0</v>
      </c>
      <c r="J8" s="20">
        <f>PROCESSAMENTO!D15</f>
        <v>9.46</v>
      </c>
      <c r="K8" s="20">
        <f>PROCESSAMENTO!E15</f>
        <v>9.16</v>
      </c>
      <c r="L8" s="20">
        <f>PROCESSAMENTO!F15</f>
        <v>9.34</v>
      </c>
      <c r="Q8" s="92">
        <v>100.0</v>
      </c>
      <c r="R8" s="20">
        <f>PROCESSAMENTO!D21</f>
        <v>7.91</v>
      </c>
      <c r="S8" s="20">
        <f>PROCESSAMENTO!E21</f>
        <v>8.96</v>
      </c>
      <c r="T8" s="20">
        <f>PROCESSAMENTO!F21</f>
        <v>9.29</v>
      </c>
      <c r="Y8" s="92">
        <v>100.0</v>
      </c>
      <c r="Z8" s="20">
        <f>PROCESSAMENTO!D27</f>
        <v>7.91</v>
      </c>
      <c r="AA8" s="20">
        <f>PROCESSAMENTO!E27</f>
        <v>9</v>
      </c>
      <c r="AB8" s="20">
        <f>PROCESSAMENTO!F27</f>
        <v>9.28</v>
      </c>
      <c r="AC8" s="72"/>
      <c r="AD8" s="72"/>
      <c r="AE8" s="72"/>
      <c r="AF8" s="72"/>
      <c r="AG8" s="72"/>
      <c r="AH8" s="72"/>
      <c r="AI8" s="72"/>
    </row>
    <row r="10">
      <c r="B10" s="38" t="s">
        <v>13</v>
      </c>
      <c r="C10" s="93" t="s">
        <v>23</v>
      </c>
      <c r="D10" s="93" t="s">
        <v>24</v>
      </c>
      <c r="E10" s="93" t="s">
        <v>25</v>
      </c>
      <c r="I10" s="38" t="s">
        <v>14</v>
      </c>
      <c r="J10" s="93" t="s">
        <v>23</v>
      </c>
      <c r="K10" s="93" t="s">
        <v>24</v>
      </c>
      <c r="L10" s="93" t="s">
        <v>25</v>
      </c>
      <c r="Q10" s="38" t="s">
        <v>18</v>
      </c>
      <c r="R10" s="93" t="s">
        <v>23</v>
      </c>
      <c r="S10" s="93" t="s">
        <v>24</v>
      </c>
      <c r="T10" s="93" t="s">
        <v>25</v>
      </c>
      <c r="Y10" s="38" t="s">
        <v>29</v>
      </c>
      <c r="Z10" s="93" t="s">
        <v>23</v>
      </c>
      <c r="AA10" s="93" t="s">
        <v>24</v>
      </c>
      <c r="AB10" s="93" t="s">
        <v>25</v>
      </c>
      <c r="AC10" s="74"/>
      <c r="AD10" s="74"/>
      <c r="AE10" s="74"/>
      <c r="AF10" s="74"/>
      <c r="AG10" s="74"/>
      <c r="AH10" s="74"/>
      <c r="AI10" s="74"/>
    </row>
    <row r="11">
      <c r="B11" s="11"/>
      <c r="C11" s="94" t="s">
        <v>27</v>
      </c>
      <c r="D11" s="6"/>
      <c r="E11" s="30"/>
      <c r="I11" s="11"/>
      <c r="J11" s="94" t="s">
        <v>27</v>
      </c>
      <c r="K11" s="6"/>
      <c r="L11" s="30"/>
      <c r="Q11" s="11"/>
      <c r="R11" s="94" t="s">
        <v>27</v>
      </c>
      <c r="S11" s="6"/>
      <c r="T11" s="30"/>
      <c r="Y11" s="11"/>
      <c r="Z11" s="94" t="s">
        <v>27</v>
      </c>
      <c r="AA11" s="6"/>
      <c r="AB11" s="30"/>
      <c r="AC11" s="72"/>
      <c r="AD11" s="72"/>
      <c r="AE11" s="72"/>
      <c r="AF11" s="72"/>
      <c r="AG11" s="72"/>
      <c r="AH11" s="72"/>
      <c r="AI11" s="72"/>
    </row>
    <row r="12">
      <c r="B12" s="13">
        <v>0.0</v>
      </c>
      <c r="C12" s="34">
        <f>PROCESSAMENTO!G5</f>
        <v>0</v>
      </c>
      <c r="D12" s="34">
        <f>PROCESSAMENTO!H5</f>
        <v>8.67</v>
      </c>
      <c r="E12" s="34">
        <f>PROCESSAMENTO!I5</f>
        <v>5.22</v>
      </c>
      <c r="I12" s="13">
        <v>0.0</v>
      </c>
      <c r="J12" s="34">
        <f>PROCESSAMENTO!G11</f>
        <v>0</v>
      </c>
      <c r="K12" s="34">
        <f>PROCESSAMENTO!H11</f>
        <v>1.88</v>
      </c>
      <c r="L12" s="34">
        <f>PROCESSAMENTO!I11</f>
        <v>3.57</v>
      </c>
      <c r="Q12" s="13">
        <v>0.0</v>
      </c>
      <c r="R12" s="34">
        <f>PROCESSAMENTO!G17</f>
        <v>0</v>
      </c>
      <c r="S12" s="34">
        <f>PROCESSAMENTO!H17</f>
        <v>8.67</v>
      </c>
      <c r="T12" s="34">
        <f>PROCESSAMENTO!I17</f>
        <v>4.85</v>
      </c>
      <c r="Y12" s="13">
        <v>0.0</v>
      </c>
      <c r="Z12" s="34">
        <f>PROCESSAMENTO!G23</f>
        <v>0</v>
      </c>
      <c r="AA12" s="34">
        <f>PROCESSAMENTO!H23</f>
        <v>1.88</v>
      </c>
      <c r="AB12" s="34">
        <f>PROCESSAMENTO!I23</f>
        <v>2.01</v>
      </c>
      <c r="AC12" s="74"/>
      <c r="AD12" s="74"/>
      <c r="AE12" s="74"/>
      <c r="AF12" s="74"/>
      <c r="AG12" s="74"/>
      <c r="AH12" s="74"/>
      <c r="AI12" s="74"/>
    </row>
    <row r="13">
      <c r="B13" s="13">
        <v>25.0</v>
      </c>
      <c r="C13" s="34">
        <f>PROCESSAMENTO!G6</f>
        <v>21.8</v>
      </c>
      <c r="D13" s="34">
        <f>PROCESSAMENTO!H6</f>
        <v>24.4</v>
      </c>
      <c r="E13" s="34">
        <f>PROCESSAMENTO!I6</f>
        <v>26.1</v>
      </c>
      <c r="I13" s="13">
        <v>25.0</v>
      </c>
      <c r="J13" s="34">
        <f>PROCESSAMENTO!G12</f>
        <v>21.8</v>
      </c>
      <c r="K13" s="34">
        <f>PROCESSAMENTO!H12</f>
        <v>23.5</v>
      </c>
      <c r="L13" s="34">
        <f>PROCESSAMENTO!I12</f>
        <v>24.1</v>
      </c>
      <c r="Q13" s="13">
        <v>25.0</v>
      </c>
      <c r="R13" s="34">
        <f>PROCESSAMENTO!G18</f>
        <v>22.9</v>
      </c>
      <c r="S13" s="34">
        <f>PROCESSAMENTO!H18</f>
        <v>46.6</v>
      </c>
      <c r="T13" s="34">
        <f>PROCESSAMENTO!I18</f>
        <v>19.7</v>
      </c>
      <c r="Y13" s="13">
        <v>25.0</v>
      </c>
      <c r="Z13" s="34">
        <f>PROCESSAMENTO!G24</f>
        <v>22.9</v>
      </c>
      <c r="AA13" s="34">
        <f>PROCESSAMENTO!H24</f>
        <v>38.7</v>
      </c>
      <c r="AB13" s="34">
        <f>PROCESSAMENTO!I24</f>
        <v>32.2</v>
      </c>
      <c r="AC13" s="74"/>
      <c r="AD13" s="74"/>
      <c r="AE13" s="74"/>
      <c r="AF13" s="74"/>
      <c r="AG13" s="74"/>
      <c r="AH13" s="74"/>
      <c r="AI13" s="74"/>
    </row>
    <row r="14">
      <c r="B14" s="13">
        <v>50.0</v>
      </c>
      <c r="C14" s="34">
        <f>PROCESSAMENTO!G7</f>
        <v>32.2</v>
      </c>
      <c r="D14" s="34">
        <f>PROCESSAMENTO!H7</f>
        <v>36.3</v>
      </c>
      <c r="E14" s="34">
        <f>PROCESSAMENTO!I7</f>
        <v>40.2</v>
      </c>
      <c r="I14" s="13">
        <v>50.0</v>
      </c>
      <c r="J14" s="34">
        <f>PROCESSAMENTO!G13</f>
        <v>32.2</v>
      </c>
      <c r="K14" s="34">
        <f>PROCESSAMENTO!H13</f>
        <v>39.9</v>
      </c>
      <c r="L14" s="34">
        <f>PROCESSAMENTO!I13</f>
        <v>42.2</v>
      </c>
      <c r="Q14" s="13">
        <v>50.0</v>
      </c>
      <c r="R14" s="34">
        <f>PROCESSAMENTO!G19</f>
        <v>39.9</v>
      </c>
      <c r="S14" s="34">
        <f>PROCESSAMENTO!H19</f>
        <v>83.4</v>
      </c>
      <c r="T14" s="34">
        <f>PROCESSAMENTO!I19</f>
        <v>171</v>
      </c>
      <c r="Y14" s="13">
        <v>50.0</v>
      </c>
      <c r="Z14" s="34">
        <f>PROCESSAMENTO!G25</f>
        <v>39.9</v>
      </c>
      <c r="AA14" s="34">
        <f>PROCESSAMENTO!H25</f>
        <v>84.3</v>
      </c>
      <c r="AB14" s="34">
        <f>PROCESSAMENTO!I25</f>
        <v>98.9</v>
      </c>
      <c r="AC14" s="74"/>
      <c r="AD14" s="74"/>
      <c r="AE14" s="74"/>
      <c r="AF14" s="74"/>
      <c r="AG14" s="74"/>
      <c r="AH14" s="74"/>
      <c r="AI14" s="74"/>
    </row>
    <row r="15">
      <c r="B15" s="13">
        <v>75.0</v>
      </c>
      <c r="C15" s="34">
        <f>PROCESSAMENTO!G8</f>
        <v>40.3</v>
      </c>
      <c r="D15" s="34">
        <f>PROCESSAMENTO!H8</f>
        <v>47.6</v>
      </c>
      <c r="E15" s="34">
        <f>PROCESSAMENTO!I8</f>
        <v>49.6</v>
      </c>
      <c r="I15" s="13">
        <v>75.0</v>
      </c>
      <c r="J15" s="34">
        <f>PROCESSAMENTO!G14</f>
        <v>40.3</v>
      </c>
      <c r="K15" s="34">
        <f>PROCESSAMENTO!H14</f>
        <v>53.4</v>
      </c>
      <c r="L15" s="34">
        <f>PROCESSAMENTO!I14</f>
        <v>55.5</v>
      </c>
      <c r="Q15" s="13">
        <v>75.0</v>
      </c>
      <c r="R15" s="34">
        <f>PROCESSAMENTO!G20</f>
        <v>142</v>
      </c>
      <c r="S15" s="34">
        <f>PROCESSAMENTO!H20</f>
        <v>72.1</v>
      </c>
      <c r="T15" s="34">
        <f>PROCESSAMENTO!I20</f>
        <v>90.3</v>
      </c>
      <c r="Y15" s="13">
        <v>75.0</v>
      </c>
      <c r="Z15" s="34">
        <f>PROCESSAMENTO!G26</f>
        <v>142</v>
      </c>
      <c r="AA15" s="34">
        <f>PROCESSAMENTO!H26</f>
        <v>95.3</v>
      </c>
      <c r="AB15" s="34">
        <f>PROCESSAMENTO!I26</f>
        <v>132</v>
      </c>
      <c r="AC15" s="74"/>
      <c r="AD15" s="74"/>
      <c r="AE15" s="74"/>
      <c r="AF15" s="74"/>
      <c r="AG15" s="74"/>
      <c r="AH15" s="74"/>
      <c r="AI15" s="74"/>
    </row>
    <row r="16">
      <c r="B16" s="92">
        <v>100.0</v>
      </c>
      <c r="C16" s="34">
        <f>PROCESSAMENTO!G9</f>
        <v>46.5</v>
      </c>
      <c r="D16" s="34">
        <f>PROCESSAMENTO!H9</f>
        <v>56.5</v>
      </c>
      <c r="E16" s="34">
        <f>PROCESSAMENTO!I9</f>
        <v>60</v>
      </c>
      <c r="I16" s="92">
        <v>100.0</v>
      </c>
      <c r="J16" s="34">
        <f>PROCESSAMENTO!G15</f>
        <v>46.5</v>
      </c>
      <c r="K16" s="34">
        <f>PROCESSAMENTO!H15</f>
        <v>62</v>
      </c>
      <c r="L16" s="34">
        <f>PROCESSAMENTO!I15</f>
        <v>73.8</v>
      </c>
      <c r="Q16" s="92">
        <v>100.0</v>
      </c>
      <c r="R16" s="34">
        <f>PROCESSAMENTO!G21</f>
        <v>233</v>
      </c>
      <c r="S16" s="34">
        <f>PROCESSAMENTO!H21</f>
        <v>184</v>
      </c>
      <c r="T16" s="34">
        <f>PROCESSAMENTO!I21</f>
        <v>22.3</v>
      </c>
      <c r="Y16" s="92">
        <v>100.0</v>
      </c>
      <c r="Z16" s="34">
        <f>PROCESSAMENTO!G27</f>
        <v>233</v>
      </c>
      <c r="AA16" s="34">
        <f>PROCESSAMENTO!H27</f>
        <v>96.7</v>
      </c>
      <c r="AB16" s="34">
        <f>PROCESSAMENTO!I27</f>
        <v>105</v>
      </c>
      <c r="AC16" s="74"/>
      <c r="AD16" s="74"/>
      <c r="AE16" s="74"/>
      <c r="AF16" s="74"/>
      <c r="AG16" s="74"/>
      <c r="AH16" s="74"/>
      <c r="AI16" s="74"/>
    </row>
    <row r="18">
      <c r="B18" s="38" t="s">
        <v>13</v>
      </c>
      <c r="C18" s="95" t="s">
        <v>23</v>
      </c>
      <c r="D18" s="95" t="s">
        <v>24</v>
      </c>
      <c r="E18" s="95" t="s">
        <v>25</v>
      </c>
      <c r="I18" s="38" t="s">
        <v>14</v>
      </c>
      <c r="J18" s="95" t="s">
        <v>23</v>
      </c>
      <c r="K18" s="95" t="s">
        <v>24</v>
      </c>
      <c r="L18" s="95" t="s">
        <v>25</v>
      </c>
      <c r="Q18" s="38" t="s">
        <v>18</v>
      </c>
      <c r="R18" s="95" t="s">
        <v>23</v>
      </c>
      <c r="S18" s="95" t="s">
        <v>24</v>
      </c>
      <c r="T18" s="95" t="s">
        <v>25</v>
      </c>
      <c r="Y18" s="38" t="s">
        <v>29</v>
      </c>
      <c r="Z18" s="95" t="s">
        <v>23</v>
      </c>
      <c r="AA18" s="95" t="s">
        <v>24</v>
      </c>
      <c r="AB18" s="95" t="s">
        <v>25</v>
      </c>
      <c r="AC18" s="72"/>
      <c r="AD18" s="72"/>
      <c r="AE18" s="72"/>
      <c r="AF18" s="72"/>
      <c r="AG18" s="72"/>
      <c r="AH18" s="72"/>
      <c r="AI18" s="72"/>
    </row>
    <row r="19">
      <c r="B19" s="11"/>
      <c r="C19" s="96" t="s">
        <v>28</v>
      </c>
      <c r="D19" s="6"/>
      <c r="E19" s="30"/>
      <c r="I19" s="11"/>
      <c r="J19" s="96" t="s">
        <v>28</v>
      </c>
      <c r="K19" s="6"/>
      <c r="L19" s="30"/>
      <c r="Q19" s="11"/>
      <c r="R19" s="96" t="s">
        <v>28</v>
      </c>
      <c r="S19" s="6"/>
      <c r="T19" s="30"/>
      <c r="Y19" s="11"/>
      <c r="Z19" s="96" t="s">
        <v>28</v>
      </c>
      <c r="AA19" s="6"/>
      <c r="AB19" s="30"/>
      <c r="AC19" s="72"/>
      <c r="AD19" s="72"/>
      <c r="AE19" s="72"/>
      <c r="AF19" s="72"/>
      <c r="AG19" s="72"/>
      <c r="AH19" s="72"/>
      <c r="AI19" s="72"/>
    </row>
    <row r="20">
      <c r="B20" s="13">
        <v>0.0</v>
      </c>
      <c r="C20" s="20">
        <f>PROCESSAMENTO!J5</f>
        <v>0</v>
      </c>
      <c r="D20" s="20">
        <f>PROCESSAMENTO!K5</f>
        <v>44.1</v>
      </c>
      <c r="E20" s="20">
        <f>PROCESSAMENTO!L5</f>
        <v>267.2</v>
      </c>
      <c r="I20" s="13">
        <v>0.0</v>
      </c>
      <c r="J20" s="20">
        <f>PROCESSAMENTO!J11</f>
        <v>0</v>
      </c>
      <c r="K20" s="20">
        <f>PROCESSAMENTO!K11</f>
        <v>52.5</v>
      </c>
      <c r="L20" s="20">
        <f>PROCESSAMENTO!L11</f>
        <v>227.2</v>
      </c>
      <c r="Q20" s="13">
        <v>0.0</v>
      </c>
      <c r="R20" s="20">
        <f>PROCESSAMENTO!J17</f>
        <v>0</v>
      </c>
      <c r="S20" s="20">
        <f>PROCESSAMENTO!K17</f>
        <v>44.1</v>
      </c>
      <c r="T20" s="20">
        <f>PROCESSAMENTO!L17</f>
        <v>259.8</v>
      </c>
      <c r="Y20" s="13">
        <v>0.0</v>
      </c>
      <c r="Z20" s="20">
        <f>PROCESSAMENTO!J23</f>
        <v>0</v>
      </c>
      <c r="AA20" s="20">
        <f>PROCESSAMENTO!K23</f>
        <v>52.5</v>
      </c>
      <c r="AB20" s="20">
        <f>PROCESSAMENTO!L23</f>
        <v>241.1</v>
      </c>
      <c r="AC20" s="72"/>
      <c r="AD20" s="72"/>
      <c r="AE20" s="72"/>
      <c r="AF20" s="72"/>
      <c r="AG20" s="72"/>
      <c r="AH20" s="72"/>
      <c r="AI20" s="72"/>
    </row>
    <row r="21">
      <c r="B21" s="13">
        <v>25.0</v>
      </c>
      <c r="C21" s="20">
        <f>PROCESSAMENTO!J6</f>
        <v>4.38</v>
      </c>
      <c r="D21" s="20">
        <f>PROCESSAMENTO!K6</f>
        <v>4.35</v>
      </c>
      <c r="E21" s="20">
        <f>PROCESSAMENTO!L6</f>
        <v>4.23</v>
      </c>
      <c r="I21" s="13">
        <v>25.0</v>
      </c>
      <c r="J21" s="20">
        <f>PROCESSAMENTO!J12</f>
        <v>4.38</v>
      </c>
      <c r="K21" s="20">
        <f>PROCESSAMENTO!K12</f>
        <v>4.14</v>
      </c>
      <c r="L21" s="20">
        <f>PROCESSAMENTO!L12</f>
        <v>4.14</v>
      </c>
      <c r="Q21" s="13">
        <v>25.0</v>
      </c>
      <c r="R21" s="20">
        <f>PROCESSAMENTO!J18</f>
        <v>7.65</v>
      </c>
      <c r="S21" s="20">
        <f>PROCESSAMENTO!K18</f>
        <v>6.6</v>
      </c>
      <c r="T21" s="20">
        <f>PROCESSAMENTO!L18</f>
        <v>5.96</v>
      </c>
      <c r="Y21" s="13">
        <v>25.0</v>
      </c>
      <c r="Z21" s="20">
        <f>PROCESSAMENTO!J24</f>
        <v>7.65</v>
      </c>
      <c r="AA21" s="20">
        <f>PROCESSAMENTO!K24</f>
        <v>6.63</v>
      </c>
      <c r="AB21" s="20">
        <f>PROCESSAMENTO!L24</f>
        <v>5.83</v>
      </c>
      <c r="AC21" s="72"/>
      <c r="AD21" s="72"/>
      <c r="AE21" s="72"/>
      <c r="AF21" s="72"/>
      <c r="AG21" s="72"/>
      <c r="AH21" s="72"/>
      <c r="AI21" s="72"/>
    </row>
    <row r="22">
      <c r="B22" s="13">
        <v>50.0</v>
      </c>
      <c r="C22" s="20">
        <f>PROCESSAMENTO!J7</f>
        <v>8.31</v>
      </c>
      <c r="D22" s="20">
        <f>PROCESSAMENTO!K7</f>
        <v>8.46</v>
      </c>
      <c r="E22" s="20">
        <f>PROCESSAMENTO!L7</f>
        <v>8.13</v>
      </c>
      <c r="I22" s="13">
        <v>50.0</v>
      </c>
      <c r="J22" s="20">
        <f>PROCESSAMENTO!J13</f>
        <v>8.31</v>
      </c>
      <c r="K22" s="20">
        <f>PROCESSAMENTO!K13</f>
        <v>8.44</v>
      </c>
      <c r="L22" s="20">
        <f>PROCESSAMENTO!L13</f>
        <v>8.22</v>
      </c>
      <c r="Q22" s="13">
        <v>50.0</v>
      </c>
      <c r="R22" s="20">
        <f>PROCESSAMENTO!J19</f>
        <v>13.53</v>
      </c>
      <c r="S22" s="20">
        <f>PROCESSAMENTO!K19</f>
        <v>13.75</v>
      </c>
      <c r="T22" s="20">
        <f>PROCESSAMENTO!L19</f>
        <v>13.56</v>
      </c>
      <c r="Y22" s="13">
        <v>50.0</v>
      </c>
      <c r="Z22" s="20">
        <f>PROCESSAMENTO!J25</f>
        <v>13.53</v>
      </c>
      <c r="AA22" s="20">
        <f>PROCESSAMENTO!K25</f>
        <v>13.9</v>
      </c>
      <c r="AB22" s="20">
        <f>PROCESSAMENTO!L25</f>
        <v>12.27</v>
      </c>
      <c r="AC22" s="72"/>
      <c r="AD22" s="72"/>
      <c r="AE22" s="72"/>
      <c r="AF22" s="72"/>
      <c r="AG22" s="72"/>
      <c r="AH22" s="72"/>
      <c r="AI22" s="72"/>
    </row>
    <row r="23">
      <c r="B23" s="13">
        <v>75.0</v>
      </c>
      <c r="C23" s="20">
        <f>PROCESSAMENTO!J8</f>
        <v>12.39</v>
      </c>
      <c r="D23" s="20">
        <f>PROCESSAMENTO!K8</f>
        <v>12.08</v>
      </c>
      <c r="E23" s="20">
        <f>PROCESSAMENTO!L8</f>
        <v>11.52</v>
      </c>
      <c r="I23" s="13">
        <v>75.0</v>
      </c>
      <c r="J23" s="20">
        <f>PROCESSAMENTO!J14</f>
        <v>12.39</v>
      </c>
      <c r="K23" s="20">
        <f>PROCESSAMENTO!K14</f>
        <v>12.03</v>
      </c>
      <c r="L23" s="20">
        <f>PROCESSAMENTO!L14</f>
        <v>11.36</v>
      </c>
      <c r="Q23" s="13">
        <v>75.0</v>
      </c>
      <c r="R23" s="20">
        <f>PROCESSAMENTO!J20</f>
        <v>28.84</v>
      </c>
      <c r="S23" s="20">
        <f>PROCESSAMENTO!K20</f>
        <v>15.7</v>
      </c>
      <c r="T23" s="20">
        <f>PROCESSAMENTO!L20</f>
        <v>13.81</v>
      </c>
      <c r="Y23" s="13">
        <v>75.0</v>
      </c>
      <c r="Z23" s="20">
        <f>PROCESSAMENTO!J26</f>
        <v>28.84</v>
      </c>
      <c r="AA23" s="20">
        <f>PROCESSAMENTO!K26</f>
        <v>20.87</v>
      </c>
      <c r="AB23" s="20">
        <f>PROCESSAMENTO!L26</f>
        <v>18.54</v>
      </c>
      <c r="AC23" s="72"/>
      <c r="AD23" s="72"/>
      <c r="AE23" s="72"/>
      <c r="AF23" s="72"/>
      <c r="AG23" s="72"/>
      <c r="AH23" s="72"/>
      <c r="AI23" s="72"/>
    </row>
    <row r="24">
      <c r="B24" s="92">
        <v>100.0</v>
      </c>
      <c r="C24" s="20">
        <f>PROCESSAMENTO!J9</f>
        <v>16.02</v>
      </c>
      <c r="D24" s="20">
        <f>PROCESSAMENTO!K9</f>
        <v>14.9</v>
      </c>
      <c r="E24" s="20">
        <f>PROCESSAMENTO!L9</f>
        <v>14.52</v>
      </c>
      <c r="I24" s="92">
        <v>100.0</v>
      </c>
      <c r="J24" s="20">
        <f>PROCESSAMENTO!J15</f>
        <v>16.02</v>
      </c>
      <c r="K24" s="20">
        <f>PROCESSAMENTO!K15</f>
        <v>15.2</v>
      </c>
      <c r="L24" s="20">
        <f>PROCESSAMENTO!L15</f>
        <v>14.61</v>
      </c>
      <c r="Q24" s="92">
        <v>100.0</v>
      </c>
      <c r="R24" s="20">
        <f>PROCESSAMENTO!J21</f>
        <v>31.9</v>
      </c>
      <c r="S24" s="20">
        <f>PROCESSAMENTO!K21</f>
        <v>23.44</v>
      </c>
      <c r="T24" s="20">
        <f>PROCESSAMENTO!L21</f>
        <v>20.95</v>
      </c>
      <c r="Y24" s="92">
        <v>100.0</v>
      </c>
      <c r="Z24" s="20">
        <f>PROCESSAMENTO!J27</f>
        <v>31.9</v>
      </c>
      <c r="AA24" s="20">
        <f>PROCESSAMENTO!K27</f>
        <v>20.91</v>
      </c>
      <c r="AB24" s="20">
        <f>PROCESSAMENTO!L27</f>
        <v>18.14</v>
      </c>
      <c r="AC24" s="72"/>
      <c r="AD24" s="72"/>
      <c r="AE24" s="72"/>
      <c r="AF24" s="72"/>
      <c r="AG24" s="72"/>
      <c r="AH24" s="72"/>
      <c r="AI24" s="72"/>
    </row>
    <row r="26">
      <c r="B26" s="38" t="s">
        <v>13</v>
      </c>
      <c r="C26" s="97" t="s">
        <v>23</v>
      </c>
      <c r="D26" s="98" t="s">
        <v>24</v>
      </c>
      <c r="E26" s="98" t="s">
        <v>25</v>
      </c>
      <c r="I26" s="38" t="s">
        <v>14</v>
      </c>
      <c r="J26" s="97" t="s">
        <v>23</v>
      </c>
      <c r="K26" s="98" t="s">
        <v>24</v>
      </c>
      <c r="L26" s="98" t="s">
        <v>25</v>
      </c>
      <c r="Q26" s="38" t="s">
        <v>18</v>
      </c>
      <c r="R26" s="97" t="s">
        <v>23</v>
      </c>
      <c r="S26" s="98" t="s">
        <v>24</v>
      </c>
      <c r="T26" s="98" t="s">
        <v>25</v>
      </c>
      <c r="Y26" s="38" t="s">
        <v>29</v>
      </c>
      <c r="Z26" s="97" t="s">
        <v>23</v>
      </c>
      <c r="AA26" s="98" t="s">
        <v>24</v>
      </c>
      <c r="AB26" s="98" t="s">
        <v>25</v>
      </c>
      <c r="AC26" s="74"/>
      <c r="AD26" s="74"/>
      <c r="AE26" s="74"/>
      <c r="AF26" s="74"/>
      <c r="AG26" s="74"/>
      <c r="AH26" s="74"/>
      <c r="AI26" s="74"/>
    </row>
    <row r="27">
      <c r="B27" s="11"/>
      <c r="C27" s="99" t="s">
        <v>5</v>
      </c>
      <c r="D27" s="6"/>
      <c r="E27" s="30"/>
      <c r="I27" s="11"/>
      <c r="J27" s="99" t="s">
        <v>5</v>
      </c>
      <c r="K27" s="6"/>
      <c r="L27" s="30"/>
      <c r="Q27" s="11"/>
      <c r="R27" s="99" t="s">
        <v>5</v>
      </c>
      <c r="S27" s="6"/>
      <c r="T27" s="30"/>
      <c r="Y27" s="11"/>
      <c r="Z27" s="99" t="s">
        <v>5</v>
      </c>
      <c r="AA27" s="6"/>
      <c r="AB27" s="30"/>
      <c r="AC27" s="74"/>
      <c r="AD27" s="74"/>
      <c r="AE27" s="74"/>
      <c r="AF27" s="74"/>
      <c r="AG27" s="74"/>
      <c r="AH27" s="74"/>
      <c r="AI27" s="74"/>
    </row>
    <row r="28">
      <c r="B28" s="13">
        <v>0.0</v>
      </c>
      <c r="C28" s="100">
        <f>PROCESSAMENTO!M5</f>
        <v>0</v>
      </c>
      <c r="D28" s="100">
        <f>PROCESSAMENTO!N5</f>
        <v>96</v>
      </c>
      <c r="E28" s="100">
        <f>PROCESSAMENTO!O5</f>
        <v>0</v>
      </c>
      <c r="I28" s="13">
        <v>0.0</v>
      </c>
      <c r="J28" s="100">
        <f>PROCESSAMENTO!M11</f>
        <v>0</v>
      </c>
      <c r="K28" s="100">
        <f>PROCESSAMENTO!N11</f>
        <v>17</v>
      </c>
      <c r="L28" s="100">
        <f>PROCESSAMENTO!O11</f>
        <v>0</v>
      </c>
      <c r="Q28" s="13">
        <v>0.0</v>
      </c>
      <c r="R28" s="100">
        <f>PROCESSAMENTO!M17</f>
        <v>0</v>
      </c>
      <c r="S28" s="100">
        <f>PROCESSAMENTO!N17</f>
        <v>96</v>
      </c>
      <c r="T28" s="100">
        <f>PROCESSAMENTO!O17</f>
        <v>0</v>
      </c>
      <c r="Y28" s="13">
        <v>0.0</v>
      </c>
      <c r="Z28" s="100">
        <f>PROCESSAMENTO!M23</f>
        <v>0</v>
      </c>
      <c r="AA28" s="100">
        <f>PROCESSAMENTO!N23</f>
        <v>17</v>
      </c>
      <c r="AB28" s="100">
        <f>PROCESSAMENTO!O23</f>
        <v>0</v>
      </c>
      <c r="AC28" s="74"/>
      <c r="AD28" s="74"/>
      <c r="AE28" s="74"/>
      <c r="AF28" s="74"/>
      <c r="AG28" s="74"/>
      <c r="AH28" s="74"/>
      <c r="AI28" s="74"/>
    </row>
    <row r="29">
      <c r="B29" s="13">
        <v>25.0</v>
      </c>
      <c r="C29" s="100">
        <f>PROCESSAMENTO!M6</f>
        <v>1260</v>
      </c>
      <c r="D29" s="100">
        <f>PROCESSAMENTO!N6</f>
        <v>535</v>
      </c>
      <c r="E29" s="100">
        <f>PROCESSAMENTO!O6</f>
        <v>1270</v>
      </c>
      <c r="I29" s="13">
        <v>25.0</v>
      </c>
      <c r="J29" s="100">
        <f>PROCESSAMENTO!M12</f>
        <v>1260</v>
      </c>
      <c r="K29" s="100">
        <f>PROCESSAMENTO!N12</f>
        <v>490</v>
      </c>
      <c r="L29" s="100">
        <f>PROCESSAMENTO!O12</f>
        <v>990</v>
      </c>
      <c r="Q29" s="13">
        <v>25.0</v>
      </c>
      <c r="R29" s="100">
        <f>PROCESSAMENTO!M18</f>
        <v>1280</v>
      </c>
      <c r="S29" s="100">
        <f>PROCESSAMENTO!N18</f>
        <v>885</v>
      </c>
      <c r="T29" s="100">
        <f>PROCESSAMENTO!O18</f>
        <v>1540</v>
      </c>
      <c r="Y29" s="13">
        <v>25.0</v>
      </c>
      <c r="Z29" s="100">
        <f>PROCESSAMENTO!M24</f>
        <v>1280</v>
      </c>
      <c r="AA29" s="100">
        <f>PROCESSAMENTO!N24</f>
        <v>820</v>
      </c>
      <c r="AB29" s="100">
        <f>PROCESSAMENTO!O24</f>
        <v>1600</v>
      </c>
      <c r="AC29" s="74"/>
      <c r="AD29" s="74"/>
      <c r="AE29" s="74"/>
      <c r="AF29" s="74"/>
      <c r="AG29" s="74"/>
      <c r="AH29" s="74"/>
      <c r="AI29" s="74"/>
    </row>
    <row r="30">
      <c r="B30" s="13">
        <v>50.0</v>
      </c>
      <c r="C30" s="100">
        <f>PROCESSAMENTO!M7</f>
        <v>2440</v>
      </c>
      <c r="D30" s="100">
        <f>PROCESSAMENTO!N7</f>
        <v>2050</v>
      </c>
      <c r="E30" s="100">
        <f>PROCESSAMENTO!O7</f>
        <v>2260</v>
      </c>
      <c r="I30" s="13">
        <v>50.0</v>
      </c>
      <c r="J30" s="100">
        <f>PROCESSAMENTO!M13</f>
        <v>2440</v>
      </c>
      <c r="K30" s="100">
        <f>PROCESSAMENTO!N13</f>
        <v>2120</v>
      </c>
      <c r="L30" s="100">
        <f>PROCESSAMENTO!O13</f>
        <v>2180</v>
      </c>
      <c r="Q30" s="13">
        <v>50.0</v>
      </c>
      <c r="R30" s="100">
        <f>PROCESSAMENTO!M19</f>
        <v>2370</v>
      </c>
      <c r="S30" s="100">
        <f>PROCESSAMENTO!N19</f>
        <v>3640</v>
      </c>
      <c r="T30" s="100">
        <f>PROCESSAMENTO!O19</f>
        <v>2830</v>
      </c>
      <c r="Y30" s="13">
        <v>50.0</v>
      </c>
      <c r="Z30" s="100">
        <f>PROCESSAMENTO!M25</f>
        <v>2370</v>
      </c>
      <c r="AA30" s="100">
        <f>PROCESSAMENTO!N25</f>
        <v>3800</v>
      </c>
      <c r="AB30" s="100">
        <f>PROCESSAMENTO!O25</f>
        <v>3900</v>
      </c>
      <c r="AC30" s="74"/>
      <c r="AD30" s="74"/>
      <c r="AE30" s="74"/>
      <c r="AF30" s="74"/>
      <c r="AG30" s="74"/>
      <c r="AH30" s="74"/>
      <c r="AI30" s="74"/>
    </row>
    <row r="31">
      <c r="B31" s="13">
        <v>75.0</v>
      </c>
      <c r="C31" s="100">
        <f>PROCESSAMENTO!M8</f>
        <v>3740</v>
      </c>
      <c r="D31" s="100">
        <f>PROCESSAMENTO!N8</f>
        <v>1620</v>
      </c>
      <c r="E31" s="100">
        <f>PROCESSAMENTO!O8</f>
        <v>3300</v>
      </c>
      <c r="I31" s="13">
        <v>75.0</v>
      </c>
      <c r="J31" s="100">
        <f>PROCESSAMENTO!M14</f>
        <v>3740</v>
      </c>
      <c r="K31" s="100">
        <f>PROCESSAMENTO!N14</f>
        <v>1720</v>
      </c>
      <c r="L31" s="100">
        <f>PROCESSAMENTO!O14</f>
        <v>3520</v>
      </c>
      <c r="Q31" s="13">
        <v>75.0</v>
      </c>
      <c r="R31" s="100">
        <f>PROCESSAMENTO!M20</f>
        <v>5360</v>
      </c>
      <c r="S31" s="100">
        <f>PROCESSAMENTO!N20</f>
        <v>2070</v>
      </c>
      <c r="T31" s="100">
        <f>PROCESSAMENTO!O20</f>
        <v>4380</v>
      </c>
      <c r="Y31" s="13">
        <v>75.0</v>
      </c>
      <c r="Z31" s="100">
        <f>PROCESSAMENTO!M26</f>
        <v>5360</v>
      </c>
      <c r="AA31" s="100">
        <f>PROCESSAMENTO!N26</f>
        <v>2780</v>
      </c>
      <c r="AB31" s="100">
        <f>PROCESSAMENTO!O26</f>
        <v>6140</v>
      </c>
      <c r="AC31" s="74"/>
      <c r="AD31" s="74"/>
      <c r="AE31" s="74"/>
      <c r="AF31" s="74"/>
      <c r="AG31" s="74"/>
      <c r="AH31" s="74"/>
      <c r="AI31" s="74"/>
    </row>
    <row r="32">
      <c r="B32" s="92">
        <v>100.0</v>
      </c>
      <c r="C32" s="100">
        <f>PROCESSAMENTO!M9</f>
        <v>4920</v>
      </c>
      <c r="D32" s="100">
        <f>PROCESSAMENTO!N9</f>
        <v>2050</v>
      </c>
      <c r="E32" s="100">
        <f>PROCESSAMENTO!O9</f>
        <v>4160</v>
      </c>
      <c r="I32" s="92">
        <v>100.0</v>
      </c>
      <c r="J32" s="100">
        <f>PROCESSAMENTO!M15</f>
        <v>4920</v>
      </c>
      <c r="K32" s="100">
        <f>PROCESSAMENTO!N15</f>
        <v>2110</v>
      </c>
      <c r="L32" s="100">
        <f>PROCESSAMENTO!O15</f>
        <v>4540</v>
      </c>
      <c r="Q32" s="92">
        <v>100.0</v>
      </c>
      <c r="R32" s="100">
        <f>PROCESSAMENTO!M21</f>
        <v>6520</v>
      </c>
      <c r="S32" s="100">
        <f>PROCESSAMENTO!N21</f>
        <v>6940</v>
      </c>
      <c r="T32" s="100">
        <f>PROCESSAMENTO!O21</f>
        <v>7800</v>
      </c>
      <c r="Y32" s="92">
        <v>100.0</v>
      </c>
      <c r="Z32" s="100">
        <f>PROCESSAMENTO!M27</f>
        <v>6520</v>
      </c>
      <c r="AA32" s="100">
        <f>PROCESSAMENTO!N27</f>
        <v>2890</v>
      </c>
      <c r="AB32" s="100">
        <f>PROCESSAMENTO!O27</f>
        <v>6020</v>
      </c>
      <c r="AC32" s="74"/>
      <c r="AD32" s="74"/>
      <c r="AE32" s="74"/>
      <c r="AF32" s="74"/>
      <c r="AG32" s="74"/>
      <c r="AH32" s="74"/>
      <c r="AI32" s="74"/>
    </row>
    <row r="34">
      <c r="B34" s="38" t="s">
        <v>13</v>
      </c>
      <c r="C34" s="101" t="s">
        <v>23</v>
      </c>
      <c r="D34" s="101" t="s">
        <v>24</v>
      </c>
      <c r="E34" s="101" t="s">
        <v>25</v>
      </c>
      <c r="I34" s="38" t="s">
        <v>14</v>
      </c>
      <c r="J34" s="101" t="s">
        <v>23</v>
      </c>
      <c r="K34" s="101" t="s">
        <v>24</v>
      </c>
      <c r="L34" s="101" t="s">
        <v>25</v>
      </c>
      <c r="Q34" s="38" t="s">
        <v>18</v>
      </c>
      <c r="R34" s="101" t="s">
        <v>23</v>
      </c>
      <c r="S34" s="101" t="s">
        <v>24</v>
      </c>
      <c r="T34" s="101" t="s">
        <v>25</v>
      </c>
      <c r="Y34" s="38" t="s">
        <v>29</v>
      </c>
      <c r="Z34" s="101" t="s">
        <v>23</v>
      </c>
      <c r="AA34" s="101" t="s">
        <v>24</v>
      </c>
      <c r="AB34" s="101" t="s">
        <v>25</v>
      </c>
      <c r="AC34" s="72"/>
      <c r="AD34" s="72"/>
      <c r="AE34" s="72"/>
      <c r="AF34" s="72"/>
      <c r="AG34" s="72"/>
      <c r="AH34" s="72"/>
      <c r="AI34" s="72"/>
    </row>
    <row r="35">
      <c r="B35" s="11"/>
      <c r="C35" s="102" t="s">
        <v>6</v>
      </c>
      <c r="D35" s="6"/>
      <c r="E35" s="30"/>
      <c r="I35" s="11"/>
      <c r="J35" s="102" t="s">
        <v>6</v>
      </c>
      <c r="K35" s="6"/>
      <c r="L35" s="30"/>
      <c r="Q35" s="11"/>
      <c r="R35" s="102" t="s">
        <v>6</v>
      </c>
      <c r="S35" s="6"/>
      <c r="T35" s="30"/>
      <c r="Y35" s="11"/>
      <c r="Z35" s="102" t="s">
        <v>6</v>
      </c>
      <c r="AA35" s="6"/>
      <c r="AB35" s="30"/>
      <c r="AC35" s="103"/>
      <c r="AD35" s="103"/>
      <c r="AE35" s="103"/>
      <c r="AF35" s="103"/>
      <c r="AG35" s="103"/>
      <c r="AH35" s="103"/>
      <c r="AI35" s="103"/>
    </row>
    <row r="36">
      <c r="B36" s="13">
        <v>0.0</v>
      </c>
      <c r="C36" s="20">
        <f>PROCESSAMENTO!P5</f>
        <v>-3.893</v>
      </c>
      <c r="D36" s="20">
        <f>PROCESSAMENTO!Q5</f>
        <v>40.076851</v>
      </c>
      <c r="E36" s="20">
        <f>PROCESSAMENTO!R5</f>
        <v>35.191312</v>
      </c>
      <c r="I36" s="13">
        <v>0.0</v>
      </c>
      <c r="J36" s="20">
        <f>PROCESSAMENTO!P11</f>
        <v>-3.893</v>
      </c>
      <c r="K36" s="20">
        <f>PROCESSAMENTO!Q11</f>
        <v>9.54223225</v>
      </c>
      <c r="L36" s="20">
        <f>PROCESSAMENTO!R11</f>
        <v>7.09946275</v>
      </c>
      <c r="Q36" s="13">
        <v>0.0</v>
      </c>
      <c r="R36" s="20">
        <f>PROCESSAMENTO!P17</f>
        <v>-3.893</v>
      </c>
      <c r="S36" s="20">
        <f>PROCESSAMENTO!Q17</f>
        <v>44.55526175</v>
      </c>
      <c r="T36" s="20">
        <f>PROCESSAMENTO!R17</f>
        <v>53.9192115</v>
      </c>
      <c r="Y36" s="13">
        <v>0.0</v>
      </c>
      <c r="Z36" s="20">
        <f>PROCESSAMENTO!P23</f>
        <v>-3.893</v>
      </c>
      <c r="AA36" s="20">
        <f>PROCESSAMENTO!Q23</f>
        <v>15.649156</v>
      </c>
      <c r="AB36" s="20">
        <f>PROCESSAMENTO!R23</f>
        <v>9.9493605</v>
      </c>
      <c r="AC36" s="103"/>
      <c r="AD36" s="103"/>
      <c r="AE36" s="103"/>
      <c r="AF36" s="103"/>
      <c r="AG36" s="103"/>
      <c r="AH36" s="103"/>
      <c r="AI36" s="103"/>
    </row>
    <row r="37">
      <c r="B37" s="13">
        <v>25.0</v>
      </c>
      <c r="C37" s="20">
        <f>PROCESSAMENTO!P6</f>
        <v>423.5916625</v>
      </c>
      <c r="D37" s="20">
        <f>PROCESSAMENTO!Q6</f>
        <v>407.3065325</v>
      </c>
      <c r="E37" s="20">
        <f>PROCESSAMENTO!R6</f>
        <v>468.37577</v>
      </c>
      <c r="I37" s="13">
        <v>25.0</v>
      </c>
      <c r="J37" s="20">
        <f>PROCESSAMENTO!P12</f>
        <v>423.5916625</v>
      </c>
      <c r="K37" s="20">
        <f>PROCESSAMENTO!Q12</f>
        <v>364.5580663</v>
      </c>
      <c r="L37" s="20">
        <f>PROCESSAMENTO!R12</f>
        <v>549.80142</v>
      </c>
      <c r="Q37" s="13">
        <v>25.0</v>
      </c>
      <c r="R37" s="20">
        <f>PROCESSAMENTO!P18</f>
        <v>498.9103888</v>
      </c>
      <c r="S37" s="20">
        <f>PROCESSAMENTO!Q18</f>
        <v>535.5519313</v>
      </c>
      <c r="T37" s="20">
        <f>PROCESSAMENTO!R18</f>
        <v>635.2983525</v>
      </c>
      <c r="Y37" s="13">
        <v>25.0</v>
      </c>
      <c r="Z37" s="20">
        <f>PROCESSAMENTO!P24</f>
        <v>498.9103888</v>
      </c>
      <c r="AA37" s="20">
        <f>PROCESSAMENTO!Q24</f>
        <v>513.1598775</v>
      </c>
      <c r="AB37" s="20">
        <f>PROCESSAMENTO!R24</f>
        <v>549.80142</v>
      </c>
      <c r="AC37" s="103"/>
      <c r="AD37" s="103"/>
      <c r="AE37" s="103"/>
      <c r="AF37" s="103"/>
      <c r="AG37" s="103"/>
      <c r="AH37" s="103"/>
      <c r="AI37" s="103"/>
    </row>
    <row r="38">
      <c r="B38" s="13">
        <v>50.0</v>
      </c>
      <c r="C38" s="20">
        <f>PROCESSAMENTO!P7</f>
        <v>977.2860825</v>
      </c>
      <c r="D38" s="20">
        <f>PROCESSAMENTO!Q7</f>
        <v>961.0009525</v>
      </c>
      <c r="E38" s="20">
        <f>PROCESSAMENTO!R7</f>
        <v>989.49993</v>
      </c>
      <c r="I38" s="13">
        <v>50.0</v>
      </c>
      <c r="J38" s="20">
        <f>PROCESSAMENTO!P13</f>
        <v>977.2860825</v>
      </c>
      <c r="K38" s="20">
        <f>PROCESSAMENTO!Q13</f>
        <v>838.8624775</v>
      </c>
      <c r="L38" s="20">
        <f>PROCESSAMENTO!R13</f>
        <v>965.072235</v>
      </c>
      <c r="Q38" s="13">
        <v>50.0</v>
      </c>
      <c r="R38" s="20">
        <f>PROCESSAMENTO!P19</f>
        <v>1005.78506</v>
      </c>
      <c r="S38" s="20">
        <f>PROCESSAMENTO!Q19</f>
        <v>1140.137383</v>
      </c>
      <c r="T38" s="20">
        <f>PROCESSAMENTO!R19</f>
        <v>1665.332825</v>
      </c>
      <c r="Y38" s="13">
        <v>50.0</v>
      </c>
      <c r="Z38" s="20">
        <f>PROCESSAMENTO!P25</f>
        <v>1005.78506</v>
      </c>
      <c r="AA38" s="20">
        <f>PROCESSAMENTO!Q25</f>
        <v>1217.49175</v>
      </c>
      <c r="AB38" s="20">
        <f>PROCESSAMENTO!R25</f>
        <v>1347.77279</v>
      </c>
      <c r="AC38" s="103"/>
      <c r="AD38" s="103"/>
      <c r="AE38" s="103"/>
      <c r="AF38" s="103"/>
      <c r="AG38" s="103"/>
      <c r="AH38" s="103"/>
      <c r="AI38" s="103"/>
    </row>
    <row r="39">
      <c r="B39" s="13">
        <v>75.0</v>
      </c>
      <c r="C39" s="20">
        <f>PROCESSAMENTO!P8</f>
        <v>1339.630225</v>
      </c>
      <c r="D39" s="20">
        <f>PROCESSAMENTO!Q8</f>
        <v>614.94194</v>
      </c>
      <c r="E39" s="20">
        <f>PROCESSAMENTO!R8</f>
        <v>1339.630225</v>
      </c>
      <c r="I39" s="13">
        <v>75.0</v>
      </c>
      <c r="J39" s="20">
        <f>PROCESSAMENTO!P14</f>
        <v>1339.630225</v>
      </c>
      <c r="K39" s="20">
        <f>PROCESSAMENTO!Q14</f>
        <v>631.22707</v>
      </c>
      <c r="L39" s="20">
        <f>PROCESSAMENTO!R14</f>
        <v>1388.485615</v>
      </c>
      <c r="Q39" s="13">
        <v>75.0</v>
      </c>
      <c r="R39" s="20">
        <f>PROCESSAMENTO!P20</f>
        <v>2219.027245</v>
      </c>
      <c r="S39" s="20">
        <f>PROCESSAMENTO!Q20</f>
        <v>655.654765</v>
      </c>
      <c r="T39" s="20">
        <f>PROCESSAMENTO!R20</f>
        <v>1339.630225</v>
      </c>
      <c r="Y39" s="13">
        <v>75.0</v>
      </c>
      <c r="Z39" s="20">
        <f>PROCESSAMENTO!P26</f>
        <v>2219.027245</v>
      </c>
      <c r="AA39" s="20">
        <f>PROCESSAMENTO!Q26</f>
        <v>1050.569168</v>
      </c>
      <c r="AB39" s="20">
        <f>PROCESSAMENTO!R26</f>
        <v>2251.597505</v>
      </c>
      <c r="AC39" s="103"/>
      <c r="AD39" s="103"/>
      <c r="AE39" s="103"/>
      <c r="AF39" s="103"/>
      <c r="AG39" s="103"/>
      <c r="AH39" s="103"/>
      <c r="AI39" s="103"/>
    </row>
    <row r="40">
      <c r="B40" s="92">
        <v>100.0</v>
      </c>
      <c r="C40" s="20">
        <f>PROCESSAMENTO!P9</f>
        <v>1583.907175</v>
      </c>
      <c r="D40" s="20">
        <f>PROCESSAMENTO!Q9</f>
        <v>822.5773475</v>
      </c>
      <c r="E40" s="20">
        <f>PROCESSAMENTO!R9</f>
        <v>1828.184125</v>
      </c>
      <c r="I40" s="92">
        <v>100.0</v>
      </c>
      <c r="J40" s="20">
        <f>PROCESSAMENTO!P15</f>
        <v>1583.907175</v>
      </c>
      <c r="K40" s="20">
        <f>PROCESSAMENTO!Q15</f>
        <v>798.1496525</v>
      </c>
      <c r="L40" s="20">
        <f>PROCESSAMENTO!R15</f>
        <v>2267.882635</v>
      </c>
      <c r="Q40" s="92">
        <v>100.0</v>
      </c>
      <c r="R40" s="20">
        <f>PROCESSAMENTO!P21</f>
        <v>2430.733935</v>
      </c>
      <c r="S40" s="20">
        <f>PROCESSAMENTO!Q21</f>
        <v>1209.349185</v>
      </c>
      <c r="T40" s="20">
        <f>PROCESSAMENTO!R21</f>
        <v>2373.73598</v>
      </c>
      <c r="Y40" s="92">
        <v>100.0</v>
      </c>
      <c r="Z40" s="20">
        <f>PROCESSAMENTO!P27</f>
        <v>2430.733935</v>
      </c>
      <c r="AA40" s="20">
        <f>PROCESSAMENTO!Q27</f>
        <v>1046.497885</v>
      </c>
      <c r="AB40" s="20">
        <f>PROCESSAMENTO!R27</f>
        <v>1934.03747</v>
      </c>
      <c r="AC40" s="103"/>
      <c r="AD40" s="103"/>
      <c r="AE40" s="103"/>
      <c r="AF40" s="103"/>
      <c r="AG40" s="103"/>
      <c r="AH40" s="103"/>
      <c r="AI40" s="103"/>
    </row>
    <row r="42">
      <c r="B42" s="104" t="s">
        <v>30</v>
      </c>
    </row>
    <row r="44">
      <c r="B44" s="7" t="s">
        <v>31</v>
      </c>
      <c r="C44" s="7" t="s">
        <v>13</v>
      </c>
      <c r="D44" s="7" t="s">
        <v>14</v>
      </c>
      <c r="E44" s="7" t="s">
        <v>18</v>
      </c>
      <c r="F44" s="13" t="s">
        <v>16</v>
      </c>
    </row>
    <row r="45">
      <c r="B45" s="7">
        <v>0.0</v>
      </c>
      <c r="C45" s="105">
        <f>PROCESSAMENTO!S5</f>
        <v>1003.963833</v>
      </c>
      <c r="D45" s="106">
        <f>PROCESSAMENTO!S11</f>
        <v>282.3648279</v>
      </c>
      <c r="E45" s="106">
        <f>PROCESSAMENTO!S17</f>
        <v>1485.029836</v>
      </c>
      <c r="F45" s="106">
        <f>PROCESSAMENTO!S23</f>
        <v>355.570524</v>
      </c>
    </row>
    <row r="46">
      <c r="B46" s="7">
        <v>25.0</v>
      </c>
      <c r="C46" s="107">
        <f>PROCESSAMENTO!S6</f>
        <v>-10.57247143</v>
      </c>
      <c r="D46" s="108">
        <f>PROCESSAMENTO!S12</f>
        <v>-29.79514676</v>
      </c>
      <c r="E46" s="108">
        <f>PROCESSAMENTO!S18</f>
        <v>-27.33716652</v>
      </c>
      <c r="F46" s="108">
        <f>PROCESSAMENTO!S24</f>
        <v>-10.20043527</v>
      </c>
    </row>
    <row r="47">
      <c r="B47" s="7">
        <v>50.0</v>
      </c>
      <c r="C47" s="107">
        <f>PROCESSAMENTO!S7</f>
        <v>-1.249771967</v>
      </c>
      <c r="D47" s="108">
        <f>PROCESSAMENTO!S13</f>
        <v>1.249771967</v>
      </c>
      <c r="E47" s="108">
        <f>PROCESSAMENTO!S19</f>
        <v>-65.57541877</v>
      </c>
      <c r="F47" s="108">
        <f>PROCESSAMENTO!S25</f>
        <v>-34.00206899</v>
      </c>
    </row>
    <row r="48">
      <c r="B48" s="7">
        <v>75.0</v>
      </c>
      <c r="C48" s="107">
        <f>PROCESSAMENTO!S8</f>
        <v>0</v>
      </c>
      <c r="D48" s="108">
        <f>PROCESSAMENTO!S14</f>
        <v>-3.646931003</v>
      </c>
      <c r="E48" s="108">
        <f>PROCESSAMENTO!S20</f>
        <v>39.6298433</v>
      </c>
      <c r="F48" s="108">
        <f>PROCESSAMENTO!S26</f>
        <v>-1.467771974</v>
      </c>
    </row>
    <row r="49">
      <c r="B49" s="76">
        <v>100.0</v>
      </c>
      <c r="C49" s="109">
        <f>PROCESSAMENTO!S9</f>
        <v>-15.4224284</v>
      </c>
      <c r="D49" s="100">
        <f>PROCESSAMENTO!S15</f>
        <v>-43.18279952</v>
      </c>
      <c r="E49" s="100">
        <f>PROCESSAMENTO!S21</f>
        <v>2.344886628</v>
      </c>
      <c r="F49" s="100">
        <f>PROCESSAMENTO!S27</f>
        <v>20.43401204</v>
      </c>
    </row>
    <row r="50"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</row>
    <row r="51">
      <c r="B51" s="111"/>
    </row>
    <row r="53">
      <c r="B53" s="38" t="s">
        <v>2</v>
      </c>
      <c r="C53" s="112" t="s">
        <v>24</v>
      </c>
      <c r="D53" s="6"/>
      <c r="E53" s="6"/>
      <c r="F53" s="30"/>
      <c r="J53" s="38" t="s">
        <v>2</v>
      </c>
      <c r="K53" s="112" t="s">
        <v>25</v>
      </c>
      <c r="L53" s="6"/>
      <c r="M53" s="6"/>
      <c r="N53" s="30"/>
    </row>
    <row r="54">
      <c r="B54" s="11"/>
      <c r="C54" s="113" t="s">
        <v>13</v>
      </c>
      <c r="D54" s="113" t="s">
        <v>14</v>
      </c>
      <c r="E54" s="113" t="s">
        <v>18</v>
      </c>
      <c r="F54" s="113" t="s">
        <v>16</v>
      </c>
      <c r="J54" s="11"/>
      <c r="K54" s="113" t="s">
        <v>13</v>
      </c>
      <c r="L54" s="113" t="s">
        <v>14</v>
      </c>
      <c r="M54" s="113" t="s">
        <v>18</v>
      </c>
      <c r="N54" s="113" t="s">
        <v>16</v>
      </c>
    </row>
    <row r="55">
      <c r="B55" s="13">
        <v>0.0</v>
      </c>
      <c r="C55" s="40">
        <f t="shared" ref="C55:C59" si="1">D4</f>
        <v>7.85</v>
      </c>
      <c r="D55" s="34">
        <f t="shared" ref="D55:D59" si="2">K4</f>
        <v>7.77</v>
      </c>
      <c r="E55" s="20">
        <f t="shared" ref="E55:E59" si="3">S4</f>
        <v>7.85</v>
      </c>
      <c r="F55" s="20">
        <f t="shared" ref="F55:F59" si="4">AA4</f>
        <v>7.77</v>
      </c>
      <c r="J55" s="13">
        <v>0.0</v>
      </c>
      <c r="K55" s="40">
        <f t="shared" ref="K55:K59" si="5">E4</f>
        <v>8.87</v>
      </c>
      <c r="L55" s="34">
        <f t="shared" ref="L55:L59" si="6">L4</f>
        <v>9.25</v>
      </c>
      <c r="M55" s="20">
        <f t="shared" ref="M55:M59" si="7">T4</f>
        <v>8.55</v>
      </c>
      <c r="N55" s="20">
        <f t="shared" ref="N55:N59" si="8">AB4</f>
        <v>8.69</v>
      </c>
    </row>
    <row r="56">
      <c r="B56" s="13">
        <v>25.0</v>
      </c>
      <c r="C56" s="40">
        <f t="shared" si="1"/>
        <v>9.09</v>
      </c>
      <c r="D56" s="34">
        <f t="shared" si="2"/>
        <v>8.98</v>
      </c>
      <c r="E56" s="20">
        <f t="shared" si="3"/>
        <v>8.97</v>
      </c>
      <c r="F56" s="20" t="str">
        <f t="shared" si="4"/>
        <v>8,,98</v>
      </c>
      <c r="J56" s="13">
        <v>25.0</v>
      </c>
      <c r="K56" s="40">
        <f t="shared" si="5"/>
        <v>9.11</v>
      </c>
      <c r="L56" s="34">
        <f t="shared" si="6"/>
        <v>9.19</v>
      </c>
      <c r="M56" s="20">
        <f t="shared" si="7"/>
        <v>9.18</v>
      </c>
      <c r="N56" s="20">
        <f t="shared" si="8"/>
        <v>9.21</v>
      </c>
    </row>
    <row r="57">
      <c r="B57" s="13">
        <v>50.0</v>
      </c>
      <c r="C57" s="40">
        <f t="shared" si="1"/>
        <v>90.9</v>
      </c>
      <c r="D57" s="34">
        <f t="shared" si="2"/>
        <v>9.1</v>
      </c>
      <c r="E57" s="20">
        <f t="shared" si="3"/>
        <v>9.02</v>
      </c>
      <c r="F57" s="20">
        <f t="shared" si="4"/>
        <v>9.02</v>
      </c>
      <c r="J57" s="13">
        <v>50.0</v>
      </c>
      <c r="K57" s="40">
        <f t="shared" si="5"/>
        <v>9.17</v>
      </c>
      <c r="L57" s="34">
        <f t="shared" si="6"/>
        <v>9.2</v>
      </c>
      <c r="M57" s="20">
        <f t="shared" si="7"/>
        <v>8.95</v>
      </c>
      <c r="N57" s="20">
        <f t="shared" si="8"/>
        <v>9.19</v>
      </c>
    </row>
    <row r="58">
      <c r="B58" s="13">
        <v>75.0</v>
      </c>
      <c r="C58" s="40">
        <f t="shared" si="1"/>
        <v>9.12</v>
      </c>
      <c r="D58" s="34">
        <f t="shared" si="2"/>
        <v>9.13</v>
      </c>
      <c r="E58" s="20">
        <f t="shared" si="3"/>
        <v>9.01</v>
      </c>
      <c r="F58" s="20">
        <f t="shared" si="4"/>
        <v>9.01</v>
      </c>
      <c r="J58" s="13">
        <v>75.0</v>
      </c>
      <c r="K58" s="40">
        <f t="shared" si="5"/>
        <v>9.26</v>
      </c>
      <c r="L58" s="34">
        <f t="shared" si="6"/>
        <v>9.27</v>
      </c>
      <c r="M58" s="20">
        <f t="shared" si="7"/>
        <v>9.3</v>
      </c>
      <c r="N58" s="20">
        <f t="shared" si="8"/>
        <v>9.29</v>
      </c>
    </row>
    <row r="59">
      <c r="B59" s="92">
        <v>100.0</v>
      </c>
      <c r="C59" s="40">
        <f t="shared" si="1"/>
        <v>9.15</v>
      </c>
      <c r="D59" s="34">
        <f t="shared" si="2"/>
        <v>9.16</v>
      </c>
      <c r="E59" s="20">
        <f t="shared" si="3"/>
        <v>8.96</v>
      </c>
      <c r="F59" s="20">
        <f t="shared" si="4"/>
        <v>9</v>
      </c>
      <c r="J59" s="92">
        <v>100.0</v>
      </c>
      <c r="K59" s="40">
        <f t="shared" si="5"/>
        <v>9.33</v>
      </c>
      <c r="L59" s="34">
        <f t="shared" si="6"/>
        <v>9.34</v>
      </c>
      <c r="M59" s="20">
        <f t="shared" si="7"/>
        <v>9.29</v>
      </c>
      <c r="N59" s="20">
        <f t="shared" si="8"/>
        <v>9.28</v>
      </c>
    </row>
    <row r="61">
      <c r="B61" s="38" t="s">
        <v>32</v>
      </c>
      <c r="C61" s="114" t="s">
        <v>24</v>
      </c>
      <c r="D61" s="6"/>
      <c r="E61" s="6"/>
      <c r="F61" s="30"/>
      <c r="J61" s="38" t="s">
        <v>32</v>
      </c>
      <c r="K61" s="114" t="s">
        <v>25</v>
      </c>
      <c r="L61" s="6"/>
      <c r="M61" s="6"/>
      <c r="N61" s="30"/>
    </row>
    <row r="62">
      <c r="B62" s="11"/>
      <c r="C62" s="115" t="s">
        <v>13</v>
      </c>
      <c r="D62" s="115" t="s">
        <v>14</v>
      </c>
      <c r="E62" s="115" t="s">
        <v>18</v>
      </c>
      <c r="F62" s="115" t="s">
        <v>16</v>
      </c>
      <c r="J62" s="11"/>
      <c r="K62" s="115" t="s">
        <v>13</v>
      </c>
      <c r="L62" s="115" t="s">
        <v>14</v>
      </c>
      <c r="M62" s="115" t="s">
        <v>18</v>
      </c>
      <c r="N62" s="115" t="s">
        <v>16</v>
      </c>
    </row>
    <row r="63">
      <c r="B63" s="13">
        <v>0.0</v>
      </c>
      <c r="C63" s="40">
        <f t="shared" ref="C63:C67" si="9">D12</f>
        <v>8.67</v>
      </c>
      <c r="D63" s="34">
        <f t="shared" ref="D63:D67" si="10">K12</f>
        <v>1.88</v>
      </c>
      <c r="E63" s="20">
        <f t="shared" ref="E63:E67" si="11">S12</f>
        <v>8.67</v>
      </c>
      <c r="F63" s="20">
        <f t="shared" ref="F63:F67" si="12">AA12</f>
        <v>1.88</v>
      </c>
      <c r="J63" s="13">
        <v>0.0</v>
      </c>
      <c r="K63" s="40">
        <f t="shared" ref="K63:K67" si="13">E12</f>
        <v>5.22</v>
      </c>
      <c r="L63" s="34">
        <f t="shared" ref="L63:L67" si="14">L12</f>
        <v>3.57</v>
      </c>
      <c r="M63" s="20">
        <f t="shared" ref="M63:M67" si="15">T12</f>
        <v>4.85</v>
      </c>
      <c r="N63" s="20">
        <f t="shared" ref="N63:N67" si="16">AB12</f>
        <v>2.01</v>
      </c>
    </row>
    <row r="64">
      <c r="B64" s="13">
        <v>25.0</v>
      </c>
      <c r="C64" s="40">
        <f t="shared" si="9"/>
        <v>24.4</v>
      </c>
      <c r="D64" s="34">
        <f t="shared" si="10"/>
        <v>23.5</v>
      </c>
      <c r="E64" s="20">
        <f t="shared" si="11"/>
        <v>46.6</v>
      </c>
      <c r="F64" s="20">
        <f t="shared" si="12"/>
        <v>38.7</v>
      </c>
      <c r="J64" s="13">
        <v>25.0</v>
      </c>
      <c r="K64" s="40">
        <f t="shared" si="13"/>
        <v>26.1</v>
      </c>
      <c r="L64" s="34">
        <f t="shared" si="14"/>
        <v>24.1</v>
      </c>
      <c r="M64" s="20">
        <f t="shared" si="15"/>
        <v>19.7</v>
      </c>
      <c r="N64" s="20">
        <f t="shared" si="16"/>
        <v>32.2</v>
      </c>
    </row>
    <row r="65">
      <c r="B65" s="13">
        <v>50.0</v>
      </c>
      <c r="C65" s="40">
        <f t="shared" si="9"/>
        <v>36.3</v>
      </c>
      <c r="D65" s="34">
        <f t="shared" si="10"/>
        <v>39.9</v>
      </c>
      <c r="E65" s="20">
        <f t="shared" si="11"/>
        <v>83.4</v>
      </c>
      <c r="F65" s="20">
        <f t="shared" si="12"/>
        <v>84.3</v>
      </c>
      <c r="J65" s="13">
        <v>50.0</v>
      </c>
      <c r="K65" s="40">
        <f t="shared" si="13"/>
        <v>40.2</v>
      </c>
      <c r="L65" s="34">
        <f t="shared" si="14"/>
        <v>42.2</v>
      </c>
      <c r="M65" s="20">
        <f t="shared" si="15"/>
        <v>171</v>
      </c>
      <c r="N65" s="20">
        <f t="shared" si="16"/>
        <v>98.9</v>
      </c>
    </row>
    <row r="66">
      <c r="B66" s="13">
        <v>75.0</v>
      </c>
      <c r="C66" s="40">
        <f t="shared" si="9"/>
        <v>47.6</v>
      </c>
      <c r="D66" s="34">
        <f t="shared" si="10"/>
        <v>53.4</v>
      </c>
      <c r="E66" s="20">
        <f t="shared" si="11"/>
        <v>72.1</v>
      </c>
      <c r="F66" s="20">
        <f t="shared" si="12"/>
        <v>95.3</v>
      </c>
      <c r="J66" s="13">
        <v>75.0</v>
      </c>
      <c r="K66" s="40">
        <f t="shared" si="13"/>
        <v>49.6</v>
      </c>
      <c r="L66" s="34">
        <f t="shared" si="14"/>
        <v>55.5</v>
      </c>
      <c r="M66" s="20">
        <f t="shared" si="15"/>
        <v>90.3</v>
      </c>
      <c r="N66" s="20">
        <f t="shared" si="16"/>
        <v>132</v>
      </c>
    </row>
    <row r="67">
      <c r="B67" s="92">
        <v>100.0</v>
      </c>
      <c r="C67" s="40">
        <f t="shared" si="9"/>
        <v>56.5</v>
      </c>
      <c r="D67" s="34">
        <f t="shared" si="10"/>
        <v>62</v>
      </c>
      <c r="E67" s="20">
        <f t="shared" si="11"/>
        <v>184</v>
      </c>
      <c r="F67" s="20">
        <f t="shared" si="12"/>
        <v>96.7</v>
      </c>
      <c r="J67" s="92">
        <v>100.0</v>
      </c>
      <c r="K67" s="40">
        <f t="shared" si="13"/>
        <v>60</v>
      </c>
      <c r="L67" s="34">
        <f t="shared" si="14"/>
        <v>73.8</v>
      </c>
      <c r="M67" s="20">
        <f t="shared" si="15"/>
        <v>22.3</v>
      </c>
      <c r="N67" s="20">
        <f t="shared" si="16"/>
        <v>105</v>
      </c>
    </row>
    <row r="69">
      <c r="B69" s="38" t="s">
        <v>33</v>
      </c>
      <c r="C69" s="116" t="s">
        <v>24</v>
      </c>
      <c r="D69" s="6"/>
      <c r="E69" s="6"/>
      <c r="F69" s="30"/>
      <c r="J69" s="38" t="s">
        <v>33</v>
      </c>
      <c r="K69" s="116" t="s">
        <v>25</v>
      </c>
      <c r="L69" s="6"/>
      <c r="M69" s="6"/>
      <c r="N69" s="30"/>
    </row>
    <row r="70">
      <c r="B70" s="11"/>
      <c r="C70" s="117" t="s">
        <v>13</v>
      </c>
      <c r="D70" s="117" t="s">
        <v>14</v>
      </c>
      <c r="E70" s="117" t="s">
        <v>18</v>
      </c>
      <c r="F70" s="117" t="s">
        <v>16</v>
      </c>
      <c r="J70" s="11"/>
      <c r="K70" s="117" t="s">
        <v>13</v>
      </c>
      <c r="L70" s="117" t="s">
        <v>14</v>
      </c>
      <c r="M70" s="117" t="s">
        <v>18</v>
      </c>
      <c r="N70" s="117" t="s">
        <v>16</v>
      </c>
    </row>
    <row r="71">
      <c r="B71" s="13">
        <v>0.0</v>
      </c>
      <c r="C71" s="40"/>
      <c r="D71" s="34"/>
      <c r="E71" s="20"/>
      <c r="F71" s="20"/>
      <c r="J71" s="13">
        <v>0.0</v>
      </c>
      <c r="K71" s="40"/>
      <c r="L71" s="34"/>
      <c r="M71" s="20"/>
      <c r="N71" s="20"/>
    </row>
    <row r="72">
      <c r="B72" s="13">
        <v>25.0</v>
      </c>
      <c r="C72" s="40"/>
      <c r="D72" s="34"/>
      <c r="E72" s="20"/>
      <c r="F72" s="20"/>
      <c r="J72" s="13">
        <v>25.0</v>
      </c>
      <c r="K72" s="40"/>
      <c r="L72" s="34"/>
      <c r="M72" s="20"/>
      <c r="N72" s="20"/>
    </row>
    <row r="73">
      <c r="B73" s="13">
        <v>50.0</v>
      </c>
      <c r="C73" s="40"/>
      <c r="D73" s="34"/>
      <c r="E73" s="20"/>
      <c r="F73" s="20"/>
      <c r="J73" s="13">
        <v>50.0</v>
      </c>
      <c r="K73" s="40"/>
      <c r="L73" s="34"/>
      <c r="M73" s="20"/>
      <c r="N73" s="20"/>
    </row>
    <row r="74">
      <c r="B74" s="13">
        <v>75.0</v>
      </c>
      <c r="C74" s="40"/>
      <c r="D74" s="34"/>
      <c r="E74" s="20"/>
      <c r="F74" s="20"/>
      <c r="J74" s="13">
        <v>75.0</v>
      </c>
      <c r="K74" s="40"/>
      <c r="L74" s="34"/>
      <c r="M74" s="20"/>
      <c r="N74" s="20"/>
    </row>
    <row r="75">
      <c r="B75" s="92">
        <v>100.0</v>
      </c>
      <c r="C75" s="40"/>
      <c r="D75" s="34"/>
      <c r="E75" s="20"/>
      <c r="F75" s="20"/>
      <c r="J75" s="92">
        <v>100.0</v>
      </c>
      <c r="K75" s="40"/>
      <c r="L75" s="34"/>
      <c r="M75" s="20"/>
      <c r="N75" s="20"/>
    </row>
    <row r="77">
      <c r="B77" s="38" t="s">
        <v>34</v>
      </c>
      <c r="C77" s="118" t="s">
        <v>24</v>
      </c>
      <c r="D77" s="6"/>
      <c r="E77" s="6"/>
      <c r="F77" s="30"/>
      <c r="J77" s="38" t="s">
        <v>34</v>
      </c>
      <c r="K77" s="118" t="s">
        <v>25</v>
      </c>
      <c r="L77" s="6"/>
      <c r="M77" s="6"/>
      <c r="N77" s="30"/>
    </row>
    <row r="78">
      <c r="B78" s="11"/>
      <c r="C78" s="119" t="s">
        <v>13</v>
      </c>
      <c r="D78" s="119" t="s">
        <v>14</v>
      </c>
      <c r="E78" s="119" t="s">
        <v>18</v>
      </c>
      <c r="F78" s="119" t="s">
        <v>16</v>
      </c>
      <c r="J78" s="11"/>
      <c r="K78" s="119" t="s">
        <v>13</v>
      </c>
      <c r="L78" s="119" t="s">
        <v>14</v>
      </c>
      <c r="M78" s="119" t="s">
        <v>18</v>
      </c>
      <c r="N78" s="119" t="s">
        <v>16</v>
      </c>
    </row>
    <row r="79">
      <c r="B79" s="13">
        <v>0.0</v>
      </c>
      <c r="C79" s="34">
        <f t="shared" ref="C79:C83" si="17">D28</f>
        <v>96</v>
      </c>
      <c r="D79" s="34">
        <f t="shared" ref="D79:D83" si="18">K28</f>
        <v>17</v>
      </c>
      <c r="E79" s="34">
        <f t="shared" ref="E79:E83" si="19">S28</f>
        <v>96</v>
      </c>
      <c r="F79" s="120">
        <f t="shared" ref="F79:F83" si="20">AA28</f>
        <v>17</v>
      </c>
      <c r="G79" s="85"/>
      <c r="J79" s="13">
        <v>0.0</v>
      </c>
      <c r="K79" s="35">
        <f t="shared" ref="K79:K83" si="21">E28</f>
        <v>0</v>
      </c>
      <c r="L79" s="35">
        <f t="shared" ref="L79:L83" si="22">L28</f>
        <v>0</v>
      </c>
      <c r="M79" s="35">
        <f t="shared" ref="M79:M83" si="23">T28</f>
        <v>0</v>
      </c>
      <c r="N79" s="35">
        <f t="shared" ref="N79:N83" si="24">AB28</f>
        <v>0</v>
      </c>
    </row>
    <row r="80">
      <c r="B80" s="13">
        <v>25.0</v>
      </c>
      <c r="C80" s="34">
        <f t="shared" si="17"/>
        <v>535</v>
      </c>
      <c r="D80" s="34">
        <f t="shared" si="18"/>
        <v>490</v>
      </c>
      <c r="E80" s="34">
        <f t="shared" si="19"/>
        <v>885</v>
      </c>
      <c r="F80" s="120">
        <f t="shared" si="20"/>
        <v>820</v>
      </c>
      <c r="G80" s="85"/>
      <c r="J80" s="13">
        <v>25.0</v>
      </c>
      <c r="K80" s="35">
        <f t="shared" si="21"/>
        <v>1270</v>
      </c>
      <c r="L80" s="35">
        <f t="shared" si="22"/>
        <v>990</v>
      </c>
      <c r="M80" s="35">
        <f t="shared" si="23"/>
        <v>1540</v>
      </c>
      <c r="N80" s="35">
        <f t="shared" si="24"/>
        <v>1600</v>
      </c>
    </row>
    <row r="81">
      <c r="B81" s="13">
        <v>50.0</v>
      </c>
      <c r="C81" s="34">
        <f t="shared" si="17"/>
        <v>2050</v>
      </c>
      <c r="D81" s="34">
        <f t="shared" si="18"/>
        <v>2120</v>
      </c>
      <c r="E81" s="34">
        <f t="shared" si="19"/>
        <v>3640</v>
      </c>
      <c r="F81" s="120">
        <f t="shared" si="20"/>
        <v>3800</v>
      </c>
      <c r="G81" s="85"/>
      <c r="J81" s="13">
        <v>50.0</v>
      </c>
      <c r="K81" s="35">
        <f t="shared" si="21"/>
        <v>2260</v>
      </c>
      <c r="L81" s="35">
        <f t="shared" si="22"/>
        <v>2180</v>
      </c>
      <c r="M81" s="35">
        <f t="shared" si="23"/>
        <v>2830</v>
      </c>
      <c r="N81" s="35">
        <f t="shared" si="24"/>
        <v>3900</v>
      </c>
    </row>
    <row r="82">
      <c r="B82" s="13">
        <v>75.0</v>
      </c>
      <c r="C82" s="34">
        <f t="shared" si="17"/>
        <v>1620</v>
      </c>
      <c r="D82" s="34">
        <f t="shared" si="18"/>
        <v>1720</v>
      </c>
      <c r="E82" s="34">
        <f t="shared" si="19"/>
        <v>2070</v>
      </c>
      <c r="F82" s="120">
        <f t="shared" si="20"/>
        <v>2780</v>
      </c>
      <c r="G82" s="85"/>
      <c r="J82" s="13">
        <v>75.0</v>
      </c>
      <c r="K82" s="35">
        <f t="shared" si="21"/>
        <v>3300</v>
      </c>
      <c r="L82" s="35">
        <f t="shared" si="22"/>
        <v>3520</v>
      </c>
      <c r="M82" s="35">
        <f t="shared" si="23"/>
        <v>4380</v>
      </c>
      <c r="N82" s="35">
        <f t="shared" si="24"/>
        <v>6140</v>
      </c>
    </row>
    <row r="83">
      <c r="B83" s="92">
        <v>100.0</v>
      </c>
      <c r="C83" s="34">
        <f t="shared" si="17"/>
        <v>2050</v>
      </c>
      <c r="D83" s="34">
        <f t="shared" si="18"/>
        <v>2110</v>
      </c>
      <c r="E83" s="34">
        <f t="shared" si="19"/>
        <v>6940</v>
      </c>
      <c r="F83" s="120">
        <f t="shared" si="20"/>
        <v>2890</v>
      </c>
      <c r="G83" s="85"/>
      <c r="J83" s="92">
        <v>100.0</v>
      </c>
      <c r="K83" s="35">
        <f t="shared" si="21"/>
        <v>4160</v>
      </c>
      <c r="L83" s="35">
        <f t="shared" si="22"/>
        <v>4540</v>
      </c>
      <c r="M83" s="35">
        <f t="shared" si="23"/>
        <v>7800</v>
      </c>
      <c r="N83" s="35">
        <f t="shared" si="24"/>
        <v>6020</v>
      </c>
    </row>
    <row r="85">
      <c r="B85" s="38" t="s">
        <v>6</v>
      </c>
      <c r="C85" s="121" t="s">
        <v>24</v>
      </c>
      <c r="D85" s="6"/>
      <c r="E85" s="6"/>
      <c r="F85" s="30"/>
      <c r="J85" s="38" t="s">
        <v>6</v>
      </c>
      <c r="K85" s="121" t="s">
        <v>25</v>
      </c>
      <c r="L85" s="6"/>
      <c r="M85" s="6"/>
      <c r="N85" s="30"/>
    </row>
    <row r="86">
      <c r="B86" s="11"/>
      <c r="C86" s="122" t="s">
        <v>13</v>
      </c>
      <c r="D86" s="122" t="s">
        <v>14</v>
      </c>
      <c r="E86" s="122" t="s">
        <v>18</v>
      </c>
      <c r="F86" s="122" t="s">
        <v>16</v>
      </c>
      <c r="J86" s="11"/>
      <c r="K86" s="122" t="s">
        <v>13</v>
      </c>
      <c r="L86" s="122" t="s">
        <v>14</v>
      </c>
      <c r="M86" s="122" t="s">
        <v>18</v>
      </c>
      <c r="N86" s="122" t="s">
        <v>16</v>
      </c>
    </row>
    <row r="87">
      <c r="B87" s="13">
        <v>0.0</v>
      </c>
      <c r="C87" s="20">
        <f t="shared" ref="C87:C91" si="25">D36</f>
        <v>40.076851</v>
      </c>
      <c r="D87" s="20">
        <f t="shared" ref="D87:D91" si="26">K36</f>
        <v>9.54223225</v>
      </c>
      <c r="E87" s="20">
        <f t="shared" ref="E87:E91" si="27">S36</f>
        <v>44.55526175</v>
      </c>
      <c r="F87" s="123">
        <f t="shared" ref="F87:F91" si="28">AA36</f>
        <v>15.649156</v>
      </c>
      <c r="G87" s="124"/>
      <c r="J87" s="13">
        <v>0.0</v>
      </c>
      <c r="K87" s="34">
        <f t="shared" ref="K87:K91" si="29">E36</f>
        <v>35.191312</v>
      </c>
      <c r="L87" s="34">
        <f t="shared" ref="L87:L91" si="30">L36</f>
        <v>7.09946275</v>
      </c>
      <c r="M87" s="20">
        <f t="shared" ref="M87:M91" si="31">T36</f>
        <v>53.9192115</v>
      </c>
      <c r="N87" s="34">
        <f t="shared" ref="N87:N91" si="32">AB36</f>
        <v>9.9493605</v>
      </c>
    </row>
    <row r="88">
      <c r="B88" s="13">
        <v>25.0</v>
      </c>
      <c r="C88" s="20">
        <f t="shared" si="25"/>
        <v>407.3065325</v>
      </c>
      <c r="D88" s="20">
        <f t="shared" si="26"/>
        <v>364.5580663</v>
      </c>
      <c r="E88" s="20">
        <f t="shared" si="27"/>
        <v>535.5519313</v>
      </c>
      <c r="F88" s="123">
        <f t="shared" si="28"/>
        <v>513.1598775</v>
      </c>
      <c r="G88" s="124"/>
      <c r="J88" s="13">
        <v>25.0</v>
      </c>
      <c r="K88" s="34">
        <f t="shared" si="29"/>
        <v>468.37577</v>
      </c>
      <c r="L88" s="34">
        <f t="shared" si="30"/>
        <v>549.80142</v>
      </c>
      <c r="M88" s="20">
        <f t="shared" si="31"/>
        <v>635.2983525</v>
      </c>
      <c r="N88" s="34">
        <f t="shared" si="32"/>
        <v>549.80142</v>
      </c>
    </row>
    <row r="89">
      <c r="B89" s="13">
        <v>50.0</v>
      </c>
      <c r="C89" s="20">
        <f t="shared" si="25"/>
        <v>961.0009525</v>
      </c>
      <c r="D89" s="20">
        <f t="shared" si="26"/>
        <v>838.8624775</v>
      </c>
      <c r="E89" s="20">
        <f t="shared" si="27"/>
        <v>1140.137383</v>
      </c>
      <c r="F89" s="123">
        <f t="shared" si="28"/>
        <v>1217.49175</v>
      </c>
      <c r="G89" s="124"/>
      <c r="J89" s="13">
        <v>50.0</v>
      </c>
      <c r="K89" s="34">
        <f t="shared" si="29"/>
        <v>989.49993</v>
      </c>
      <c r="L89" s="34">
        <f t="shared" si="30"/>
        <v>965.072235</v>
      </c>
      <c r="M89" s="20">
        <f t="shared" si="31"/>
        <v>1665.332825</v>
      </c>
      <c r="N89" s="34">
        <f t="shared" si="32"/>
        <v>1347.77279</v>
      </c>
    </row>
    <row r="90">
      <c r="B90" s="13">
        <v>75.0</v>
      </c>
      <c r="C90" s="20">
        <f t="shared" si="25"/>
        <v>614.94194</v>
      </c>
      <c r="D90" s="20">
        <f t="shared" si="26"/>
        <v>631.22707</v>
      </c>
      <c r="E90" s="20">
        <f t="shared" si="27"/>
        <v>655.654765</v>
      </c>
      <c r="F90" s="123">
        <f t="shared" si="28"/>
        <v>1050.569168</v>
      </c>
      <c r="G90" s="124"/>
      <c r="J90" s="13">
        <v>75.0</v>
      </c>
      <c r="K90" s="34">
        <f t="shared" si="29"/>
        <v>1339.630225</v>
      </c>
      <c r="L90" s="34">
        <f t="shared" si="30"/>
        <v>1388.485615</v>
      </c>
      <c r="M90" s="20">
        <f t="shared" si="31"/>
        <v>1339.630225</v>
      </c>
      <c r="N90" s="34">
        <f t="shared" si="32"/>
        <v>2251.597505</v>
      </c>
    </row>
    <row r="91">
      <c r="B91" s="92">
        <v>100.0</v>
      </c>
      <c r="C91" s="20">
        <f t="shared" si="25"/>
        <v>822.5773475</v>
      </c>
      <c r="D91" s="20">
        <f t="shared" si="26"/>
        <v>798.1496525</v>
      </c>
      <c r="E91" s="20">
        <f t="shared" si="27"/>
        <v>1209.349185</v>
      </c>
      <c r="F91" s="123">
        <f t="shared" si="28"/>
        <v>1046.497885</v>
      </c>
      <c r="G91" s="124"/>
      <c r="J91" s="92">
        <v>100.0</v>
      </c>
      <c r="K91" s="34">
        <f t="shared" si="29"/>
        <v>1828.184125</v>
      </c>
      <c r="L91" s="34">
        <f t="shared" si="30"/>
        <v>2267.882635</v>
      </c>
      <c r="M91" s="20">
        <f t="shared" si="31"/>
        <v>2373.73598</v>
      </c>
      <c r="N91" s="34">
        <f t="shared" si="32"/>
        <v>1934.03747</v>
      </c>
    </row>
  </sheetData>
  <mergeCells count="62">
    <mergeCell ref="C53:F53"/>
    <mergeCell ref="J53:J54"/>
    <mergeCell ref="K53:N53"/>
    <mergeCell ref="C61:F61"/>
    <mergeCell ref="J61:J62"/>
    <mergeCell ref="K61:N61"/>
    <mergeCell ref="C69:F69"/>
    <mergeCell ref="J77:J78"/>
    <mergeCell ref="J85:J86"/>
    <mergeCell ref="J69:J70"/>
    <mergeCell ref="K69:N69"/>
    <mergeCell ref="B77:B78"/>
    <mergeCell ref="C77:F77"/>
    <mergeCell ref="K77:N77"/>
    <mergeCell ref="B85:B86"/>
    <mergeCell ref="C85:F85"/>
    <mergeCell ref="K85:N85"/>
    <mergeCell ref="I2:I3"/>
    <mergeCell ref="Q2:Q3"/>
    <mergeCell ref="Y2:Y3"/>
    <mergeCell ref="C3:E3"/>
    <mergeCell ref="J3:L3"/>
    <mergeCell ref="R3:T3"/>
    <mergeCell ref="Z3:AB3"/>
    <mergeCell ref="Y10:Y11"/>
    <mergeCell ref="Z11:AB11"/>
    <mergeCell ref="Y18:Y19"/>
    <mergeCell ref="Z19:AB19"/>
    <mergeCell ref="Y26:Y27"/>
    <mergeCell ref="Z27:AB27"/>
    <mergeCell ref="Y34:Y35"/>
    <mergeCell ref="Z35:AB35"/>
    <mergeCell ref="I10:I11"/>
    <mergeCell ref="I18:I19"/>
    <mergeCell ref="I26:I27"/>
    <mergeCell ref="J27:L27"/>
    <mergeCell ref="I34:I35"/>
    <mergeCell ref="J35:L35"/>
    <mergeCell ref="Q18:Q19"/>
    <mergeCell ref="R19:T19"/>
    <mergeCell ref="Q26:Q27"/>
    <mergeCell ref="R27:T27"/>
    <mergeCell ref="Q34:Q35"/>
    <mergeCell ref="R35:T35"/>
    <mergeCell ref="B2:B3"/>
    <mergeCell ref="B10:B11"/>
    <mergeCell ref="Q10:Q11"/>
    <mergeCell ref="C11:E11"/>
    <mergeCell ref="J11:L11"/>
    <mergeCell ref="R11:T11"/>
    <mergeCell ref="J19:L19"/>
    <mergeCell ref="B34:B35"/>
    <mergeCell ref="B53:B54"/>
    <mergeCell ref="B61:B62"/>
    <mergeCell ref="B69:B70"/>
    <mergeCell ref="B18:B19"/>
    <mergeCell ref="C19:E19"/>
    <mergeCell ref="B26:B27"/>
    <mergeCell ref="C27:E27"/>
    <mergeCell ref="C35:E35"/>
    <mergeCell ref="B42:C42"/>
    <mergeCell ref="B51:AF51"/>
  </mergeCells>
  <drawing r:id="rId1"/>
</worksheet>
</file>