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0" sheetId="1" r:id="rId4"/>
    <sheet state="visible" name="Dados prontos Dia 0" sheetId="2" r:id="rId5"/>
    <sheet state="visible" name="Dia 7" sheetId="3" r:id="rId6"/>
    <sheet state="visible" name="Dados prontos Dia 7" sheetId="4" r:id="rId7"/>
    <sheet state="visible" name="Dia 14" sheetId="5" r:id="rId8"/>
    <sheet state="visible" name="Dados prontos Dia 14" sheetId="6" r:id="rId9"/>
    <sheet state="visible" name="PROCESSAMENTO" sheetId="7" r:id="rId10"/>
  </sheets>
  <definedNames/>
  <calcPr/>
  <extLst>
    <ext uri="GoogleSheetsCustomDataVersion2">
      <go:sheetsCustomData xmlns:go="http://customooxmlschemas.google.com/" r:id="rId11" roundtripDataChecksum="j0TPtL22TGULi0kTtCSA+rW6FfNbwQHB7eQF/yFfd9I="/>
    </ext>
  </extLst>
</workbook>
</file>

<file path=xl/sharedStrings.xml><?xml version="1.0" encoding="utf-8"?>
<sst xmlns="http://schemas.openxmlformats.org/spreadsheetml/2006/main" count="312" uniqueCount="58">
  <si>
    <t>Tabela de Crescimento Radicular</t>
  </si>
  <si>
    <t>Tamanho (cm)</t>
  </si>
  <si>
    <t>Duplicata</t>
  </si>
  <si>
    <t>Controles</t>
  </si>
  <si>
    <t>AI</t>
  </si>
  <si>
    <t>A</t>
  </si>
  <si>
    <t>I</t>
  </si>
  <si>
    <t>B</t>
  </si>
  <si>
    <t>CN - M</t>
  </si>
  <si>
    <t>CN - T</t>
  </si>
  <si>
    <t>CN - D</t>
  </si>
  <si>
    <t>CP</t>
  </si>
  <si>
    <t>0%</t>
  </si>
  <si>
    <t>25%</t>
  </si>
  <si>
    <t>50%</t>
  </si>
  <si>
    <t>Média</t>
  </si>
  <si>
    <t>DP</t>
  </si>
  <si>
    <t>CRR (%)</t>
  </si>
  <si>
    <t>IER (%)</t>
  </si>
  <si>
    <t>Tabela de Germinação</t>
  </si>
  <si>
    <t>Sistema</t>
  </si>
  <si>
    <t>%</t>
  </si>
  <si>
    <t>Dupli</t>
  </si>
  <si>
    <t>Germinação</t>
  </si>
  <si>
    <t>TG (%)</t>
  </si>
  <si>
    <t>GRS (%)</t>
  </si>
  <si>
    <t>IG (%)</t>
  </si>
  <si>
    <t>IGN (%)</t>
  </si>
  <si>
    <t>N° de sementes germinadas</t>
  </si>
  <si>
    <t>&gt;0</t>
  </si>
  <si>
    <t>Hormese</t>
  </si>
  <si>
    <t>0 a -0,25</t>
  </si>
  <si>
    <t>Toxicidade baixa</t>
  </si>
  <si>
    <t>-0,25 a -0,5</t>
  </si>
  <si>
    <t>Toxicidade moderada</t>
  </si>
  <si>
    <t>-0,5 a -0,75</t>
  </si>
  <si>
    <t>Toxicidade alta</t>
  </si>
  <si>
    <t>-0,75 a -1,0</t>
  </si>
  <si>
    <t>Toxicidade muito alta</t>
  </si>
  <si>
    <t>TG</t>
  </si>
  <si>
    <t>Taxa de germinação</t>
  </si>
  <si>
    <t>GRS</t>
  </si>
  <si>
    <t>Germinação relativa das sementes</t>
  </si>
  <si>
    <t>IG</t>
  </si>
  <si>
    <t>Índice de germinação</t>
  </si>
  <si>
    <t>CRR</t>
  </si>
  <si>
    <t>Crescimento relativo da radícula</t>
  </si>
  <si>
    <t>IGN</t>
  </si>
  <si>
    <t>Índice de germinação residual normalizado</t>
  </si>
  <si>
    <t>IER</t>
  </si>
  <si>
    <t>Índice de alongamento radical residual normalizado</t>
  </si>
  <si>
    <t>BI</t>
  </si>
  <si>
    <t>CN</t>
  </si>
  <si>
    <t xml:space="preserve"> </t>
  </si>
  <si>
    <t>TOXICIDADE</t>
  </si>
  <si>
    <t>Dia 0</t>
  </si>
  <si>
    <t>Dia 7</t>
  </si>
  <si>
    <t>Dia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</si>
</sst>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2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i/>
      <sz val="10.0"/>
      <color theme="1"/>
      <name val="Arial"/>
    </font>
    <font>
      <i/>
      <sz val="10.0"/>
      <color theme="1"/>
      <name val="Arial"/>
    </font>
    <font/>
    <font>
      <b/>
      <sz val="12.0"/>
      <color theme="1"/>
      <name val="Times New Roman"/>
    </font>
    <font>
      <color theme="1"/>
      <name val="Arial"/>
    </font>
    <font>
      <i/>
      <color theme="1"/>
      <name val="Arial"/>
    </font>
    <font>
      <sz val="11.0"/>
      <color theme="1"/>
      <name val="Arial"/>
    </font>
    <font>
      <b/>
      <i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6E4EC"/>
        <bgColor rgb="FFF6E4EC"/>
      </patternFill>
    </fill>
    <fill>
      <patternFill patternType="solid">
        <fgColor rgb="FFE1C8D3"/>
        <bgColor rgb="FFE1C8D3"/>
      </patternFill>
    </fill>
    <fill>
      <patternFill patternType="solid">
        <fgColor rgb="FFC4A5B3"/>
        <bgColor rgb="FFC4A5B3"/>
      </patternFill>
    </fill>
    <fill>
      <patternFill patternType="solid">
        <fgColor rgb="FFAE8A9A"/>
        <bgColor rgb="FFAE8A9A"/>
      </patternFill>
    </fill>
    <fill>
      <patternFill patternType="solid">
        <fgColor rgb="FF936A7C"/>
        <bgColor rgb="FF936A7C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A2C6BD"/>
        <bgColor rgb="FFA2C6BD"/>
      </patternFill>
    </fill>
    <fill>
      <patternFill patternType="solid">
        <fgColor rgb="FF84AEA4"/>
        <bgColor rgb="FF84AEA4"/>
      </patternFill>
    </fill>
    <fill>
      <patternFill patternType="solid">
        <fgColor rgb="FF66988C"/>
        <bgColor rgb="FF66988C"/>
      </patternFill>
    </fill>
    <fill>
      <patternFill patternType="solid">
        <fgColor rgb="FF558B7E"/>
        <bgColor rgb="FF558B7E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0" xfId="0" applyFont="1"/>
    <xf borderId="1" fillId="2" fontId="2" numFmtId="0" xfId="0" applyAlignment="1" applyBorder="1" applyFill="1" applyFont="1">
      <alignment horizontal="center"/>
    </xf>
    <xf borderId="2" fillId="0" fontId="6" numFmtId="0" xfId="0" applyBorder="1" applyFont="1"/>
    <xf borderId="0" fillId="0" fontId="7" numFmtId="0" xfId="0" applyAlignment="1" applyFont="1">
      <alignment horizontal="center" shrinkToFit="0" wrapText="1"/>
    </xf>
    <xf borderId="1" fillId="2" fontId="3" numFmtId="0" xfId="0" applyAlignment="1" applyBorder="1" applyFont="1">
      <alignment horizontal="center"/>
    </xf>
    <xf borderId="3" fillId="0" fontId="6" numFmtId="0" xfId="0" applyBorder="1" applyFont="1"/>
    <xf borderId="4" fillId="2" fontId="3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1" fillId="7" fontId="3" numFmtId="0" xfId="0" applyAlignment="1" applyBorder="1" applyFill="1" applyFont="1">
      <alignment horizontal="center"/>
    </xf>
    <xf borderId="5" fillId="0" fontId="6" numFmtId="0" xfId="0" applyBorder="1" applyFont="1"/>
    <xf borderId="4" fillId="3" fontId="3" numFmtId="0" xfId="0" applyAlignment="1" applyBorder="1" applyFont="1">
      <alignment horizontal="center" vertical="center"/>
    </xf>
    <xf borderId="4" fillId="4" fontId="3" numFmtId="49" xfId="0" applyAlignment="1" applyBorder="1" applyFont="1" applyNumberFormat="1">
      <alignment horizontal="center" vertical="center"/>
    </xf>
    <xf borderId="4" fillId="4" fontId="3" numFmtId="9" xfId="0" applyAlignment="1" applyBorder="1" applyFont="1" applyNumberFormat="1">
      <alignment horizontal="center" vertical="center"/>
    </xf>
    <xf borderId="4" fillId="5" fontId="3" numFmtId="49" xfId="0" applyAlignment="1" applyBorder="1" applyFont="1" applyNumberFormat="1">
      <alignment horizontal="center" vertical="center"/>
    </xf>
    <xf borderId="4" fillId="5" fontId="3" numFmtId="9" xfId="0" applyAlignment="1" applyBorder="1" applyFont="1" applyNumberFormat="1">
      <alignment horizontal="center" vertical="center"/>
    </xf>
    <xf borderId="4" fillId="6" fontId="3" numFmtId="49" xfId="0" applyAlignment="1" applyBorder="1" applyFont="1" applyNumberFormat="1">
      <alignment horizontal="center" vertical="center"/>
    </xf>
    <xf borderId="4" fillId="6" fontId="3" numFmtId="9" xfId="0" applyAlignment="1" applyBorder="1" applyFont="1" applyNumberFormat="1">
      <alignment horizontal="center" vertical="center"/>
    </xf>
    <xf borderId="4" fillId="7" fontId="3" numFmtId="49" xfId="0" applyAlignment="1" applyBorder="1" applyFont="1" applyNumberFormat="1">
      <alignment horizontal="center" vertical="center"/>
    </xf>
    <xf borderId="4" fillId="7" fontId="3" numFmtId="9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shrinkToFit="0" wrapText="1"/>
    </xf>
    <xf borderId="6" fillId="0" fontId="6" numFmtId="0" xfId="0" applyBorder="1" applyFont="1"/>
    <xf borderId="0" fillId="0" fontId="7" numFmtId="164" xfId="0" applyAlignment="1" applyFont="1" applyNumberFormat="1">
      <alignment horizontal="center"/>
    </xf>
    <xf borderId="4" fillId="2" fontId="3" numFmtId="3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/>
    </xf>
    <xf borderId="4" fillId="0" fontId="3" numFmtId="164" xfId="0" applyAlignment="1" applyBorder="1" applyFont="1" applyNumberFormat="1">
      <alignment horizontal="center"/>
    </xf>
    <xf borderId="7" fillId="0" fontId="3" numFmtId="4" xfId="0" applyAlignment="1" applyBorder="1" applyFont="1" applyNumberFormat="1">
      <alignment horizontal="center"/>
    </xf>
    <xf borderId="4" fillId="0" fontId="8" numFmtId="4" xfId="0" applyAlignment="1" applyBorder="1" applyFont="1" applyNumberFormat="1">
      <alignment horizontal="center"/>
    </xf>
    <xf borderId="4" fillId="0" fontId="8" numFmtId="164" xfId="0" applyAlignment="1" applyBorder="1" applyFont="1" applyNumberFormat="1">
      <alignment horizontal="center"/>
    </xf>
    <xf borderId="5" fillId="0" fontId="3" numFmtId="4" xfId="0" applyAlignment="1" applyBorder="1" applyFont="1" applyNumberFormat="1">
      <alignment horizontal="center"/>
    </xf>
    <xf borderId="5" fillId="0" fontId="3" numFmtId="164" xfId="0" applyAlignment="1" applyBorder="1" applyFont="1" applyNumberFormat="1">
      <alignment horizontal="center"/>
    </xf>
    <xf borderId="8" fillId="0" fontId="3" numFmtId="4" xfId="0" applyAlignment="1" applyBorder="1" applyFont="1" applyNumberFormat="1">
      <alignment horizontal="center"/>
    </xf>
    <xf borderId="5" fillId="0" fontId="8" numFmtId="164" xfId="0" applyAlignment="1" applyBorder="1" applyFont="1" applyNumberFormat="1">
      <alignment horizontal="center"/>
    </xf>
    <xf borderId="5" fillId="0" fontId="8" numFmtId="4" xfId="0" applyAlignment="1" applyBorder="1" applyFont="1" applyNumberFormat="1">
      <alignment horizontal="center"/>
    </xf>
    <xf borderId="5" fillId="0" fontId="3" numFmtId="4" xfId="0" applyAlignment="1" applyBorder="1" applyFont="1" applyNumberFormat="1">
      <alignment horizontal="center" shrinkToFit="0" wrapText="1"/>
    </xf>
    <xf borderId="6" fillId="0" fontId="3" numFmtId="4" xfId="0" applyAlignment="1" applyBorder="1" applyFont="1" applyNumberFormat="1">
      <alignment horizontal="center" shrinkToFit="0" wrapText="1"/>
    </xf>
    <xf borderId="6" fillId="0" fontId="3" numFmtId="4" xfId="0" applyAlignment="1" applyBorder="1" applyFont="1" applyNumberFormat="1">
      <alignment horizontal="center"/>
    </xf>
    <xf borderId="6" fillId="0" fontId="3" numFmtId="164" xfId="0" applyAlignment="1" applyBorder="1" applyFont="1" applyNumberFormat="1">
      <alignment horizontal="center"/>
    </xf>
    <xf borderId="9" fillId="0" fontId="3" numFmtId="4" xfId="0" applyAlignment="1" applyBorder="1" applyFont="1" applyNumberFormat="1">
      <alignment horizontal="center"/>
    </xf>
    <xf borderId="5" fillId="2" fontId="3" numFmtId="3" xfId="0" applyAlignment="1" applyBorder="1" applyFont="1" applyNumberFormat="1">
      <alignment horizontal="center" shrinkToFit="0" vertical="center" wrapText="1"/>
    </xf>
    <xf borderId="4" fillId="0" fontId="3" numFmtId="4" xfId="0" applyAlignment="1" applyBorder="1" applyFont="1" applyNumberFormat="1">
      <alignment horizontal="center" shrinkToFit="0" wrapText="1"/>
    </xf>
    <xf borderId="0" fillId="0" fontId="8" numFmtId="164" xfId="0" applyAlignment="1" applyFont="1" applyNumberFormat="1">
      <alignment horizontal="center"/>
    </xf>
    <xf borderId="8" fillId="0" fontId="3" numFmtId="164" xfId="0" applyAlignment="1" applyBorder="1" applyFont="1" applyNumberFormat="1">
      <alignment horizontal="center"/>
    </xf>
    <xf borderId="9" fillId="0" fontId="3" numFmtId="164" xfId="0" applyAlignment="1" applyBorder="1" applyFont="1" applyNumberFormat="1">
      <alignment horizontal="center"/>
    </xf>
    <xf borderId="6" fillId="0" fontId="8" numFmtId="164" xfId="0" applyAlignment="1" applyBorder="1" applyFont="1" applyNumberFormat="1">
      <alignment horizontal="center"/>
    </xf>
    <xf borderId="10" fillId="8" fontId="8" numFmtId="0" xfId="0" applyAlignment="1" applyBorder="1" applyFill="1" applyFont="1">
      <alignment horizontal="center"/>
    </xf>
    <xf borderId="10" fillId="0" fontId="8" numFmtId="4" xfId="0" applyAlignment="1" applyBorder="1" applyFont="1" applyNumberFormat="1">
      <alignment horizontal="center"/>
    </xf>
    <xf borderId="1" fillId="9" fontId="1" numFmtId="0" xfId="0" applyAlignment="1" applyBorder="1" applyFill="1" applyFont="1">
      <alignment horizontal="center"/>
    </xf>
    <xf borderId="4" fillId="9" fontId="3" numFmtId="0" xfId="0" applyAlignment="1" applyBorder="1" applyFont="1">
      <alignment horizontal="center" vertical="center"/>
    </xf>
    <xf borderId="4" fillId="9" fontId="8" numFmtId="0" xfId="0" applyAlignment="1" applyBorder="1" applyFont="1">
      <alignment horizontal="center" vertical="center"/>
    </xf>
    <xf borderId="7" fillId="9" fontId="8" numFmtId="0" xfId="0" applyAlignment="1" applyBorder="1" applyFont="1">
      <alignment horizontal="center" vertical="center"/>
    </xf>
    <xf borderId="11" fillId="0" fontId="6" numFmtId="0" xfId="0" applyBorder="1" applyFont="1"/>
    <xf borderId="7" fillId="10" fontId="8" numFmtId="0" xfId="0" applyAlignment="1" applyBorder="1" applyFill="1" applyFont="1">
      <alignment horizontal="center" vertical="center"/>
    </xf>
    <xf borderId="12" fillId="0" fontId="6" numFmtId="0" xfId="0" applyBorder="1" applyFont="1"/>
    <xf borderId="0" fillId="0" fontId="8" numFmtId="0" xfId="0" applyAlignment="1" applyFont="1">
      <alignment horizontal="center" vertical="center"/>
    </xf>
    <xf borderId="9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5" fillId="9" fontId="3" numFmtId="0" xfId="0" applyAlignment="1" applyBorder="1" applyFont="1">
      <alignment horizontal="center" vertical="center"/>
    </xf>
    <xf borderId="5" fillId="9" fontId="8" numFmtId="0" xfId="0" applyAlignment="1" applyBorder="1" applyFont="1">
      <alignment horizontal="center"/>
    </xf>
    <xf borderId="13" fillId="9" fontId="8" numFmtId="0" xfId="0" applyAlignment="1" applyBorder="1" applyFont="1">
      <alignment horizontal="center"/>
    </xf>
    <xf borderId="14" fillId="0" fontId="8" numFmtId="0" xfId="0" applyAlignment="1" applyBorder="1" applyFont="1">
      <alignment horizontal="center"/>
    </xf>
    <xf borderId="0" fillId="0" fontId="8" numFmtId="2" xfId="0" applyAlignment="1" applyFont="1" applyNumberFormat="1">
      <alignment horizontal="center"/>
    </xf>
    <xf borderId="15" fillId="0" fontId="6" numFmtId="0" xfId="0" applyBorder="1" applyFont="1"/>
    <xf borderId="14" fillId="0" fontId="8" numFmtId="0" xfId="0" applyAlignment="1" applyBorder="1" applyFont="1">
      <alignment horizontal="center" readingOrder="0"/>
    </xf>
    <xf borderId="5" fillId="11" fontId="3" numFmtId="0" xfId="0" applyAlignment="1" applyBorder="1" applyFill="1" applyFont="1">
      <alignment horizontal="center" vertical="center"/>
    </xf>
    <xf borderId="5" fillId="11" fontId="8" numFmtId="0" xfId="0" applyAlignment="1" applyBorder="1" applyFont="1">
      <alignment horizontal="center"/>
    </xf>
    <xf borderId="13" fillId="11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5" fillId="12" fontId="3" numFmtId="0" xfId="0" applyAlignment="1" applyBorder="1" applyFill="1" applyFont="1">
      <alignment horizontal="center" vertical="center"/>
    </xf>
    <xf borderId="5" fillId="12" fontId="8" numFmtId="0" xfId="0" applyAlignment="1" applyBorder="1" applyFont="1">
      <alignment horizontal="center"/>
    </xf>
    <xf borderId="13" fillId="12" fontId="8" numFmtId="0" xfId="0" applyAlignment="1" applyBorder="1" applyFont="1">
      <alignment horizontal="center"/>
    </xf>
    <xf borderId="0" fillId="0" fontId="9" numFmtId="0" xfId="0" applyFont="1"/>
    <xf borderId="5" fillId="13" fontId="3" numFmtId="0" xfId="0" applyAlignment="1" applyBorder="1" applyFill="1" applyFont="1">
      <alignment horizontal="center" vertical="center"/>
    </xf>
    <xf borderId="5" fillId="13" fontId="8" numFmtId="0" xfId="0" applyAlignment="1" applyBorder="1" applyFont="1">
      <alignment horizontal="center"/>
    </xf>
    <xf borderId="13" fillId="13" fontId="8" numFmtId="0" xfId="0" applyAlignment="1" applyBorder="1" applyFont="1">
      <alignment horizontal="center"/>
    </xf>
    <xf borderId="5" fillId="14" fontId="3" numFmtId="0" xfId="0" applyAlignment="1" applyBorder="1" applyFill="1" applyFont="1">
      <alignment horizontal="center" vertical="center"/>
    </xf>
    <xf borderId="5" fillId="14" fontId="8" numFmtId="0" xfId="0" applyAlignment="1" applyBorder="1" applyFont="1">
      <alignment horizontal="center"/>
    </xf>
    <xf borderId="13" fillId="14" fontId="8" numFmtId="0" xfId="0" applyAlignment="1" applyBorder="1" applyFont="1">
      <alignment horizontal="center"/>
    </xf>
    <xf borderId="14" fillId="0" fontId="8" numFmtId="0" xfId="0" applyBorder="1" applyFont="1"/>
    <xf borderId="4" fillId="0" fontId="10" numFmtId="4" xfId="0" applyAlignment="1" applyBorder="1" applyFont="1" applyNumberFormat="1">
      <alignment horizontal="center" vertical="bottom"/>
    </xf>
    <xf borderId="11" fillId="15" fontId="10" numFmtId="4" xfId="0" applyAlignment="1" applyBorder="1" applyFill="1" applyFont="1" applyNumberFormat="1">
      <alignment horizontal="center" vertical="bottom"/>
    </xf>
    <xf borderId="0" fillId="0" fontId="10" numFmtId="4" xfId="0" applyAlignment="1" applyFont="1" applyNumberFormat="1">
      <alignment horizontal="center" vertical="bottom"/>
    </xf>
    <xf borderId="10" fillId="0" fontId="10" numFmtId="0" xfId="0" applyAlignment="1" applyBorder="1" applyFont="1">
      <alignment horizontal="center" vertical="bottom"/>
    </xf>
    <xf borderId="3" fillId="16" fontId="10" numFmtId="0" xfId="0" applyAlignment="1" applyBorder="1" applyFill="1" applyFon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4" fillId="9" fontId="8" numFmtId="3" xfId="0" applyAlignment="1" applyBorder="1" applyFont="1" applyNumberFormat="1">
      <alignment horizontal="center" vertical="center"/>
    </xf>
    <xf borderId="10" fillId="9" fontId="8" numFmtId="3" xfId="0" applyAlignment="1" applyBorder="1" applyFont="1" applyNumberFormat="1">
      <alignment horizontal="center" vertical="bottom"/>
    </xf>
    <xf borderId="10" fillId="0" fontId="8" numFmtId="4" xfId="0" applyAlignment="1" applyBorder="1" applyFont="1" applyNumberFormat="1">
      <alignment horizontal="center" vertical="bottom"/>
    </xf>
    <xf borderId="0" fillId="0" fontId="8" numFmtId="4" xfId="0" applyFont="1" applyNumberFormat="1"/>
    <xf borderId="6" fillId="0" fontId="10" numFmtId="0" xfId="0" applyAlignment="1" applyBorder="1" applyFont="1">
      <alignment horizontal="center" vertical="bottom"/>
    </xf>
    <xf borderId="13" fillId="17" fontId="10" numFmtId="0" xfId="0" applyAlignment="1" applyBorder="1" applyFill="1" applyFont="1">
      <alignment horizontal="center" vertical="bottom"/>
    </xf>
    <xf borderId="6" fillId="0" fontId="10" numFmtId="4" xfId="0" applyAlignment="1" applyBorder="1" applyFont="1" applyNumberFormat="1">
      <alignment horizontal="center" vertical="bottom"/>
    </xf>
    <xf borderId="13" fillId="18" fontId="10" numFmtId="4" xfId="0" applyAlignment="1" applyBorder="1" applyFill="1" applyFont="1" applyNumberFormat="1">
      <alignment horizontal="center" vertical="bottom"/>
    </xf>
    <xf borderId="13" fillId="19" fontId="10" numFmtId="4" xfId="0" applyAlignment="1" applyBorder="1" applyFill="1" applyFont="1" applyNumberFormat="1">
      <alignment horizontal="center" vertical="bottom"/>
    </xf>
    <xf borderId="12" fillId="0" fontId="10" numFmtId="4" xfId="0" applyAlignment="1" applyBorder="1" applyFont="1" applyNumberFormat="1">
      <alignment horizontal="center" vertical="bottom"/>
    </xf>
    <xf borderId="10" fillId="0" fontId="11" numFmtId="0" xfId="0" applyAlignment="1" applyBorder="1" applyFont="1">
      <alignment horizontal="center"/>
    </xf>
    <xf borderId="1" fillId="0" fontId="9" numFmtId="0" xfId="0" applyBorder="1" applyFont="1"/>
    <xf borderId="4" fillId="11" fontId="8" numFmtId="3" xfId="0" applyAlignment="1" applyBorder="1" applyFont="1" applyNumberFormat="1">
      <alignment horizontal="center" vertical="center"/>
    </xf>
    <xf borderId="10" fillId="11" fontId="8" numFmtId="3" xfId="0" applyAlignment="1" applyBorder="1" applyFont="1" applyNumberFormat="1">
      <alignment horizontal="center" vertical="bottom"/>
    </xf>
    <xf borderId="4" fillId="12" fontId="8" numFmtId="3" xfId="0" applyAlignment="1" applyBorder="1" applyFont="1" applyNumberFormat="1">
      <alignment horizontal="center" readingOrder="0" vertical="center"/>
    </xf>
    <xf borderId="10" fillId="12" fontId="8" numFmtId="3" xfId="0" applyAlignment="1" applyBorder="1" applyFont="1" applyNumberFormat="1">
      <alignment horizontal="center" vertical="bottom"/>
    </xf>
    <xf borderId="0" fillId="0" fontId="8" numFmtId="10" xfId="0" applyFont="1" applyNumberFormat="1"/>
    <xf borderId="4" fillId="13" fontId="8" numFmtId="3" xfId="0" applyAlignment="1" applyBorder="1" applyFont="1" applyNumberFormat="1">
      <alignment horizontal="center" vertical="center"/>
    </xf>
    <xf borderId="10" fillId="13" fontId="8" numFmtId="3" xfId="0" applyAlignment="1" applyBorder="1" applyFont="1" applyNumberFormat="1">
      <alignment horizontal="center" vertical="bottom"/>
    </xf>
    <xf borderId="1" fillId="14" fontId="8" numFmtId="0" xfId="0" applyAlignment="1" applyBorder="1" applyFont="1">
      <alignment horizontal="center"/>
    </xf>
    <xf borderId="10" fillId="20" fontId="8" numFmtId="4" xfId="0" applyAlignment="1" applyBorder="1" applyFill="1" applyFont="1" applyNumberFormat="1">
      <alignment horizontal="center" vertical="bottom"/>
    </xf>
    <xf borderId="10" fillId="21" fontId="8" numFmtId="4" xfId="0" applyAlignment="1" applyBorder="1" applyFill="1" applyFont="1" applyNumberFormat="1">
      <alignment horizontal="center" vertical="bottom"/>
    </xf>
    <xf borderId="0" fillId="0" fontId="8" numFmtId="0" xfId="0" applyFont="1"/>
    <xf borderId="0" fillId="0" fontId="8" numFmtId="0" xfId="0" applyAlignment="1" applyFont="1">
      <alignment vertical="bottom"/>
    </xf>
    <xf borderId="6" fillId="0" fontId="8" numFmtId="4" xfId="0" applyAlignment="1" applyBorder="1" applyFont="1" applyNumberFormat="1">
      <alignment horizontal="center"/>
    </xf>
    <xf borderId="4" fillId="12" fontId="8" numFmtId="3" xfId="0" applyAlignment="1" applyBorder="1" applyFont="1" applyNumberFormat="1">
      <alignment horizontal="center" vertical="center"/>
    </xf>
    <xf borderId="10" fillId="16" fontId="8" numFmtId="4" xfId="0" applyAlignment="1" applyBorder="1" applyFont="1" applyNumberFormat="1">
      <alignment horizontal="center" vertical="bottom"/>
    </xf>
    <xf borderId="10" fillId="19" fontId="8" numFmtId="4" xfId="0" applyAlignment="1" applyBorder="1" applyFont="1" applyNumberFormat="1">
      <alignment horizontal="center" vertical="bottom"/>
    </xf>
    <xf borderId="10" fillId="15" fontId="8" numFmtId="4" xfId="0" applyAlignment="1" applyBorder="1" applyFont="1" applyNumberFormat="1">
      <alignment horizontal="center" vertical="bottom"/>
    </xf>
    <xf borderId="1" fillId="9" fontId="8" numFmtId="0" xfId="0" applyAlignment="1" applyBorder="1" applyFont="1">
      <alignment horizontal="center"/>
    </xf>
    <xf borderId="10" fillId="9" fontId="8" numFmtId="0" xfId="0" applyAlignment="1" applyBorder="1" applyFont="1">
      <alignment horizontal="center" vertical="center"/>
    </xf>
    <xf borderId="1" fillId="9" fontId="8" numFmtId="3" xfId="0" applyAlignment="1" applyBorder="1" applyFont="1" applyNumberFormat="1">
      <alignment horizontal="center" vertical="bottom"/>
    </xf>
    <xf borderId="7" fillId="0" fontId="8" numFmtId="4" xfId="0" applyAlignment="1" applyBorder="1" applyFont="1" applyNumberFormat="1">
      <alignment horizontal="center" vertical="center"/>
    </xf>
    <xf borderId="11" fillId="0" fontId="8" numFmtId="4" xfId="0" applyAlignment="1" applyBorder="1" applyFont="1" applyNumberFormat="1">
      <alignment horizontal="center" vertical="center"/>
    </xf>
    <xf borderId="12" fillId="0" fontId="8" numFmtId="4" xfId="0" applyAlignment="1" applyBorder="1" applyFont="1" applyNumberFormat="1">
      <alignment horizontal="center" vertical="center"/>
    </xf>
    <xf borderId="8" fillId="0" fontId="8" numFmtId="4" xfId="0" applyAlignment="1" applyBorder="1" applyFont="1" applyNumberFormat="1">
      <alignment horizontal="center" vertical="center"/>
    </xf>
    <xf borderId="15" fillId="0" fontId="8" numFmtId="4" xfId="0" applyAlignment="1" applyBorder="1" applyFont="1" applyNumberFormat="1">
      <alignment horizontal="center" vertical="center"/>
    </xf>
    <xf borderId="0" fillId="0" fontId="8" numFmtId="4" xfId="0" applyAlignment="1" applyFont="1" applyNumberFormat="1">
      <alignment horizontal="center" vertical="center"/>
    </xf>
    <xf borderId="9" fillId="0" fontId="8" numFmtId="4" xfId="0" applyAlignment="1" applyBorder="1" applyFont="1" applyNumberFormat="1">
      <alignment horizontal="center" vertical="center"/>
    </xf>
    <xf borderId="13" fillId="0" fontId="8" numFmtId="4" xfId="0" applyAlignment="1" applyBorder="1" applyFont="1" applyNumberFormat="1">
      <alignment horizontal="center" vertical="center"/>
    </xf>
    <xf borderId="14" fillId="0" fontId="8" numFmtId="4" xfId="0" applyAlignment="1" applyBorder="1" applyFont="1" applyNumberFormat="1">
      <alignment horizontal="center" vertical="center"/>
    </xf>
    <xf borderId="12" fillId="15" fontId="10" numFmtId="4" xfId="0" applyAlignment="1" applyBorder="1" applyFont="1" applyNumberFormat="1">
      <alignment horizontal="center" vertical="bottom"/>
    </xf>
    <xf borderId="2" fillId="16" fontId="10" numFmtId="0" xfId="0" applyAlignment="1" applyBorder="1" applyFont="1">
      <alignment horizontal="center" vertical="bottom"/>
    </xf>
    <xf borderId="14" fillId="17" fontId="10" numFmtId="0" xfId="0" applyAlignment="1" applyBorder="1" applyFont="1">
      <alignment horizontal="center" vertical="bottom"/>
    </xf>
    <xf borderId="14" fillId="18" fontId="10" numFmtId="4" xfId="0" applyAlignment="1" applyBorder="1" applyFont="1" applyNumberFormat="1">
      <alignment horizontal="center" vertical="bottom"/>
    </xf>
    <xf borderId="14" fillId="19" fontId="10" numFmtId="4" xfId="0" applyAlignment="1" applyBorder="1" applyFont="1" applyNumberForma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Nível de toxicidade em cada ponto amostral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'Dia 0'!$I$122</c:f>
            </c:strRef>
          </c:tx>
          <c:val>
            <c:numRef>
              <c:f>'Dia 0'!$I$123:$I$128</c:f>
              <c:numCache/>
            </c:numRef>
          </c:val>
        </c:ser>
        <c:ser>
          <c:idx val="1"/>
          <c:order val="1"/>
          <c:tx>
            <c:strRef>
              <c:f>'Dia 0'!$J$122</c:f>
            </c:strRef>
          </c:tx>
          <c:val>
            <c:numRef>
              <c:f>'Dia 0'!$J$123:$J$128</c:f>
              <c:numCache/>
            </c:numRef>
          </c:val>
        </c:ser>
        <c:ser>
          <c:idx val="2"/>
          <c:order val="2"/>
          <c:tx>
            <c:strRef>
              <c:f>'Dia 0'!$K$122</c:f>
            </c:strRef>
          </c:tx>
          <c:val>
            <c:numRef>
              <c:f>'Dia 0'!$K$123:$K$128</c:f>
              <c:numCache/>
            </c:numRef>
          </c:val>
        </c:ser>
        <c:axId val="2037938271"/>
        <c:axId val="441097335"/>
      </c:barChart>
      <c:catAx>
        <c:axId val="2037938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Pontos amostrais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1097335"/>
      </c:catAx>
      <c:valAx>
        <c:axId val="44109733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37938271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'Dados prontos Dia 0'!$I$2:$I$3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val>
            <c:numRef>
              <c:f>'Dados prontos Dia 0'!$I$4:$I$7</c:f>
              <c:numCache/>
            </c:numRef>
          </c:val>
        </c:ser>
        <c:ser>
          <c:idx val="1"/>
          <c:order val="1"/>
          <c:tx>
            <c:strRef>
              <c:f>'Dados prontos Dia 0'!$J$2:$J$3</c:f>
            </c:strRef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val>
            <c:numRef>
              <c:f>'Dados prontos Dia 0'!$J$4:$J$7</c:f>
              <c:numCache/>
            </c:numRef>
          </c:val>
        </c:ser>
        <c:axId val="270102086"/>
        <c:axId val="1764030640"/>
      </c:barChart>
      <c:catAx>
        <c:axId val="270102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64030640"/>
      </c:catAx>
      <c:valAx>
        <c:axId val="1764030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7010208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Nível de toxicidade em cada ponto amostral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'Dia 7'!$I$122</c:f>
            </c:strRef>
          </c:tx>
          <c:val>
            <c:numRef>
              <c:f>'Dia 7'!$I$123:$I$128</c:f>
              <c:numCache/>
            </c:numRef>
          </c:val>
        </c:ser>
        <c:ser>
          <c:idx val="1"/>
          <c:order val="1"/>
          <c:tx>
            <c:strRef>
              <c:f>'Dia 7'!$J$122</c:f>
            </c:strRef>
          </c:tx>
          <c:val>
            <c:numRef>
              <c:f>'Dia 7'!$J$123:$J$128</c:f>
              <c:numCache/>
            </c:numRef>
          </c:val>
        </c:ser>
        <c:ser>
          <c:idx val="2"/>
          <c:order val="2"/>
          <c:tx>
            <c:strRef>
              <c:f>'Dia 7'!$K$122</c:f>
            </c:strRef>
          </c:tx>
          <c:val>
            <c:numRef>
              <c:f>'Dia 7'!$K$123:$K$128</c:f>
              <c:numCache/>
            </c:numRef>
          </c:val>
        </c:ser>
        <c:axId val="1559345770"/>
        <c:axId val="42341403"/>
      </c:barChart>
      <c:catAx>
        <c:axId val="1559345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Pontos amostrais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341403"/>
      </c:catAx>
      <c:valAx>
        <c:axId val="4234140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59345770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Nível de toxicidade em cada ponto amostral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'Dia 14'!$I$122</c:f>
            </c:strRef>
          </c:tx>
          <c:val>
            <c:numRef>
              <c:f>'Dia 14'!$I$123:$I$128</c:f>
              <c:numCache/>
            </c:numRef>
          </c:val>
        </c:ser>
        <c:ser>
          <c:idx val="1"/>
          <c:order val="1"/>
          <c:tx>
            <c:strRef>
              <c:f>'Dia 14'!$J$122</c:f>
            </c:strRef>
          </c:tx>
          <c:val>
            <c:numRef>
              <c:f>'Dia 14'!$J$123:$J$128</c:f>
              <c:numCache/>
            </c:numRef>
          </c:val>
        </c:ser>
        <c:ser>
          <c:idx val="2"/>
          <c:order val="2"/>
          <c:tx>
            <c:strRef>
              <c:f>'Dia 14'!$K$122</c:f>
            </c:strRef>
          </c:tx>
          <c:val>
            <c:numRef>
              <c:f>'Dia 14'!$K$123:$K$128</c:f>
              <c:numCache/>
            </c:numRef>
          </c:val>
        </c:ser>
        <c:axId val="1924329095"/>
        <c:axId val="1025218783"/>
      </c:barChart>
      <c:catAx>
        <c:axId val="1924329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Pontos amostrais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25218783"/>
      </c:catAx>
      <c:valAx>
        <c:axId val="102521878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24329095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IGN (%) - AI</c:v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PROCESSAMENTO!$C$7:$C$11</c:f>
              <c:numCache/>
            </c:numRef>
          </c:val>
        </c:ser>
        <c:ser>
          <c:idx val="1"/>
          <c:order val="1"/>
          <c:tx>
            <c:v>IER (%) - AI</c:v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PROCESSAMENTO!$D$7:$D$11</c:f>
              <c:numCache/>
            </c:numRef>
          </c:val>
        </c:ser>
        <c:ser>
          <c:idx val="2"/>
          <c:order val="2"/>
          <c:tx>
            <c:v>IGN (%) - A</c:v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PROCESSAMENTO!$E$7:$E$11</c:f>
              <c:numCache/>
            </c:numRef>
          </c:val>
        </c:ser>
        <c:ser>
          <c:idx val="3"/>
          <c:order val="3"/>
          <c:tx>
            <c:v>IER (%) - A</c:v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PROCESSAMENTO!$F$7:$F$11</c:f>
              <c:numCache/>
            </c:numRef>
          </c:val>
        </c:ser>
        <c:ser>
          <c:idx val="4"/>
          <c:order val="4"/>
          <c:tx>
            <c:v>IGN (%) - I</c:v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PROCESSAMENTO!$G$7:$G$11</c:f>
              <c:numCache/>
            </c:numRef>
          </c:val>
        </c:ser>
        <c:ser>
          <c:idx val="5"/>
          <c:order val="5"/>
          <c:tx>
            <c:v>IER (%) - I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PROCESSAMENTO!$H$7:$H$11</c:f>
              <c:numCache/>
            </c:numRef>
          </c:val>
        </c:ser>
        <c:ser>
          <c:idx val="6"/>
          <c:order val="6"/>
          <c:tx>
            <c:v>IGN (%) - B</c:v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PROCESSAMENTO!$I$7:$I$11</c:f>
              <c:numCache/>
            </c:numRef>
          </c:val>
        </c:ser>
        <c:ser>
          <c:idx val="7"/>
          <c:order val="7"/>
          <c:tx>
            <c:v>IER (%) - B</c:v>
          </c:tx>
          <c:spPr>
            <a:solidFill>
              <a:srgbClr val="B45F06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PROCESSAMENTO!$J$7:$J$11</c:f>
              <c:numCache/>
            </c:numRef>
          </c:val>
        </c:ser>
        <c:axId val="1697792927"/>
        <c:axId val="1436305057"/>
      </c:barChart>
      <c:catAx>
        <c:axId val="1697792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6305057"/>
      </c:catAx>
      <c:valAx>
        <c:axId val="1436305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9779292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IGN (%) -AI</c:v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val>
            <c:numRef>
              <c:f>PROCESSAMENTO!$C$17:$C$21</c:f>
              <c:numCache/>
            </c:numRef>
          </c:val>
        </c:ser>
        <c:ser>
          <c:idx val="1"/>
          <c:order val="1"/>
          <c:tx>
            <c:v>IER (%) - AI</c:v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val>
            <c:numRef>
              <c:f>PROCESSAMENTO!$D$17:$D$21</c:f>
              <c:numCache/>
            </c:numRef>
          </c:val>
        </c:ser>
        <c:ser>
          <c:idx val="2"/>
          <c:order val="2"/>
          <c:tx>
            <c:v>IGN (%) - A</c:v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val>
            <c:numRef>
              <c:f>PROCESSAMENTO!$E$17:$E$21</c:f>
              <c:numCache/>
            </c:numRef>
          </c:val>
        </c:ser>
        <c:ser>
          <c:idx val="3"/>
          <c:order val="3"/>
          <c:tx>
            <c:v>IER (%) - A</c:v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val>
            <c:numRef>
              <c:f>PROCESSAMENTO!$F$17:$F$21</c:f>
              <c:numCache/>
            </c:numRef>
          </c:val>
        </c:ser>
        <c:ser>
          <c:idx val="4"/>
          <c:order val="4"/>
          <c:tx>
            <c:v>IGN (%) - I</c:v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val>
            <c:numRef>
              <c:f>PROCESSAMENTO!$G$17:$G$21</c:f>
              <c:numCache/>
            </c:numRef>
          </c:val>
        </c:ser>
        <c:ser>
          <c:idx val="5"/>
          <c:order val="5"/>
          <c:tx>
            <c:v>IER (%) - I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val>
            <c:numRef>
              <c:f>PROCESSAMENTO!$H$17:$H$21</c:f>
              <c:numCache/>
            </c:numRef>
          </c:val>
        </c:ser>
        <c:ser>
          <c:idx val="6"/>
          <c:order val="6"/>
          <c:tx>
            <c:v>IGN (%) - B</c:v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val>
            <c:numRef>
              <c:f>PROCESSAMENTO!$I$17:$I$21</c:f>
              <c:numCache/>
            </c:numRef>
          </c:val>
        </c:ser>
        <c:ser>
          <c:idx val="7"/>
          <c:order val="7"/>
          <c:tx>
            <c:v>IER (%) - B</c:v>
          </c:tx>
          <c:spPr>
            <a:solidFill>
              <a:srgbClr val="B45F06"/>
            </a:solidFill>
            <a:ln cmpd="sng">
              <a:solidFill>
                <a:srgbClr val="000000"/>
              </a:solidFill>
            </a:ln>
          </c:spPr>
          <c:val>
            <c:numRef>
              <c:f>PROCESSAMENTO!$J$17:$J$21</c:f>
              <c:numCache/>
            </c:numRef>
          </c:val>
        </c:ser>
        <c:axId val="726600262"/>
        <c:axId val="1511610720"/>
      </c:barChart>
      <c:catAx>
        <c:axId val="726600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11610720"/>
      </c:catAx>
      <c:valAx>
        <c:axId val="1511610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2660026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IGN (%) -AI</c:v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val>
            <c:numRef>
              <c:f>PROCESSAMENTO!$C$27:$C$31</c:f>
              <c:numCache/>
            </c:numRef>
          </c:val>
        </c:ser>
        <c:ser>
          <c:idx val="1"/>
          <c:order val="1"/>
          <c:tx>
            <c:v>IER (%) - AI</c:v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val>
            <c:numRef>
              <c:f>PROCESSAMENTO!$D$27:$D$31</c:f>
              <c:numCache/>
            </c:numRef>
          </c:val>
        </c:ser>
        <c:ser>
          <c:idx val="2"/>
          <c:order val="2"/>
          <c:tx>
            <c:v>IGN (%) - A</c:v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val>
            <c:numRef>
              <c:f>PROCESSAMENTO!$E$27:$E$31</c:f>
              <c:numCache/>
            </c:numRef>
          </c:val>
        </c:ser>
        <c:ser>
          <c:idx val="3"/>
          <c:order val="3"/>
          <c:tx>
            <c:v>IER (%) - A</c:v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val>
            <c:numRef>
              <c:f>PROCESSAMENTO!$F$27:$F$31</c:f>
              <c:numCache/>
            </c:numRef>
          </c:val>
        </c:ser>
        <c:ser>
          <c:idx val="4"/>
          <c:order val="4"/>
          <c:tx>
            <c:v>IGN (%) - I</c:v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val>
            <c:numRef>
              <c:f>PROCESSAMENTO!$G$27:$G$31</c:f>
              <c:numCache/>
            </c:numRef>
          </c:val>
        </c:ser>
        <c:ser>
          <c:idx val="5"/>
          <c:order val="5"/>
          <c:tx>
            <c:v>IER (%) - I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val>
            <c:numRef>
              <c:f>PROCESSAMENTO!$H$27:$H$31</c:f>
              <c:numCache/>
            </c:numRef>
          </c:val>
        </c:ser>
        <c:ser>
          <c:idx val="6"/>
          <c:order val="6"/>
          <c:tx>
            <c:v>IGN (%) - B</c:v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val>
            <c:numRef>
              <c:f>PROCESSAMENTO!$I$27:$I$31</c:f>
              <c:numCache/>
            </c:numRef>
          </c:val>
        </c:ser>
        <c:ser>
          <c:idx val="7"/>
          <c:order val="7"/>
          <c:tx>
            <c:v>IER (%) - B</c:v>
          </c:tx>
          <c:spPr>
            <a:solidFill>
              <a:srgbClr val="B45F06"/>
            </a:solidFill>
            <a:ln cmpd="sng">
              <a:solidFill>
                <a:srgbClr val="000000"/>
              </a:solidFill>
            </a:ln>
          </c:spPr>
          <c:val>
            <c:numRef>
              <c:f>PROCESSAMENTO!$J$27:$J$31</c:f>
              <c:numCache/>
            </c:numRef>
          </c:val>
        </c:ser>
        <c:axId val="68154590"/>
        <c:axId val="419817376"/>
      </c:barChart>
      <c:catAx>
        <c:axId val="68154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19817376"/>
      </c:catAx>
      <c:valAx>
        <c:axId val="419817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815459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113</xdr:row>
      <xdr:rowOff>104775</xdr:rowOff>
    </xdr:from>
    <xdr:ext cx="5715000" cy="3533775"/>
    <xdr:graphicFrame>
      <xdr:nvGraphicFramePr>
        <xdr:cNvPr id="15450692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25</xdr:row>
      <xdr:rowOff>190500</xdr:rowOff>
    </xdr:from>
    <xdr:ext cx="3657600" cy="2266950"/>
    <xdr:graphicFrame>
      <xdr:nvGraphicFramePr>
        <xdr:cNvPr id="202939206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113</xdr:row>
      <xdr:rowOff>104775</xdr:rowOff>
    </xdr:from>
    <xdr:ext cx="5715000" cy="3533775"/>
    <xdr:graphicFrame>
      <xdr:nvGraphicFramePr>
        <xdr:cNvPr id="922692521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113</xdr:row>
      <xdr:rowOff>104775</xdr:rowOff>
    </xdr:from>
    <xdr:ext cx="5715000" cy="3533775"/>
    <xdr:graphicFrame>
      <xdr:nvGraphicFramePr>
        <xdr:cNvPr id="146182702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314325</xdr:colOff>
      <xdr:row>3</xdr:row>
      <xdr:rowOff>171450</xdr:rowOff>
    </xdr:from>
    <xdr:ext cx="2124075" cy="1314450"/>
    <xdr:graphicFrame>
      <xdr:nvGraphicFramePr>
        <xdr:cNvPr id="1418385336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314325</xdr:colOff>
      <xdr:row>13</xdr:row>
      <xdr:rowOff>171450</xdr:rowOff>
    </xdr:from>
    <xdr:ext cx="2124075" cy="1314450"/>
    <xdr:graphicFrame>
      <xdr:nvGraphicFramePr>
        <xdr:cNvPr id="1476921877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314325</xdr:colOff>
      <xdr:row>23</xdr:row>
      <xdr:rowOff>171450</xdr:rowOff>
    </xdr:from>
    <xdr:ext cx="5715000" cy="3533775"/>
    <xdr:graphicFrame>
      <xdr:nvGraphicFramePr>
        <xdr:cNvPr id="293792875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26" width="6.38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5"/>
      <c r="S1" s="3"/>
    </row>
    <row r="2" ht="15.75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0"/>
    </row>
    <row r="4" ht="15.75" customHeight="1">
      <c r="A4" s="8"/>
      <c r="B4" s="11" t="s">
        <v>2</v>
      </c>
      <c r="C4" s="12" t="s">
        <v>3</v>
      </c>
      <c r="D4" s="7"/>
      <c r="E4" s="7"/>
      <c r="F4" s="10"/>
      <c r="G4" s="13" t="s">
        <v>4</v>
      </c>
      <c r="H4" s="7"/>
      <c r="I4" s="7"/>
      <c r="J4" s="7"/>
      <c r="K4" s="10"/>
      <c r="L4" s="14" t="s">
        <v>5</v>
      </c>
      <c r="M4" s="7"/>
      <c r="N4" s="7"/>
      <c r="O4" s="7"/>
      <c r="P4" s="10"/>
      <c r="Q4" s="15" t="s">
        <v>6</v>
      </c>
      <c r="R4" s="7"/>
      <c r="S4" s="7"/>
      <c r="T4" s="7"/>
      <c r="U4" s="10"/>
      <c r="V4" s="16" t="s">
        <v>7</v>
      </c>
      <c r="W4" s="7"/>
      <c r="X4" s="7"/>
      <c r="Y4" s="7"/>
      <c r="Z4" s="10"/>
    </row>
    <row r="5" ht="15.75" customHeight="1">
      <c r="A5" s="8"/>
      <c r="B5" s="17"/>
      <c r="C5" s="18" t="s">
        <v>8</v>
      </c>
      <c r="D5" s="18" t="s">
        <v>9</v>
      </c>
      <c r="E5" s="18" t="s">
        <v>10</v>
      </c>
      <c r="F5" s="18" t="s">
        <v>11</v>
      </c>
      <c r="G5" s="19" t="s">
        <v>12</v>
      </c>
      <c r="H5" s="19" t="s">
        <v>13</v>
      </c>
      <c r="I5" s="19" t="s">
        <v>14</v>
      </c>
      <c r="J5" s="20">
        <v>0.75</v>
      </c>
      <c r="K5" s="20">
        <v>1.0</v>
      </c>
      <c r="L5" s="21" t="s">
        <v>12</v>
      </c>
      <c r="M5" s="21" t="s">
        <v>13</v>
      </c>
      <c r="N5" s="21" t="s">
        <v>14</v>
      </c>
      <c r="O5" s="22">
        <v>0.75</v>
      </c>
      <c r="P5" s="22">
        <v>1.0</v>
      </c>
      <c r="Q5" s="23" t="s">
        <v>12</v>
      </c>
      <c r="R5" s="23" t="s">
        <v>13</v>
      </c>
      <c r="S5" s="23" t="s">
        <v>14</v>
      </c>
      <c r="T5" s="24">
        <v>0.75</v>
      </c>
      <c r="U5" s="24">
        <v>1.0</v>
      </c>
      <c r="V5" s="25" t="s">
        <v>12</v>
      </c>
      <c r="W5" s="25" t="s">
        <v>13</v>
      </c>
      <c r="X5" s="25" t="s">
        <v>14</v>
      </c>
      <c r="Y5" s="26">
        <v>0.75</v>
      </c>
      <c r="Z5" s="26">
        <v>1.0</v>
      </c>
    </row>
    <row r="6" ht="15.7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/>
      <c r="B7" s="30">
        <v>1.0</v>
      </c>
      <c r="C7" s="31">
        <v>2.286</v>
      </c>
      <c r="D7" s="31">
        <v>2.4</v>
      </c>
      <c r="E7" s="31">
        <v>2.059</v>
      </c>
      <c r="F7" s="31">
        <v>0.333</v>
      </c>
      <c r="G7" s="31">
        <v>0.405</v>
      </c>
      <c r="H7" s="31">
        <v>1.752</v>
      </c>
      <c r="I7" s="31">
        <v>0.67</v>
      </c>
      <c r="J7" s="31">
        <v>0.324</v>
      </c>
      <c r="K7" s="32">
        <v>0.01</v>
      </c>
      <c r="L7" s="31">
        <v>4.416</v>
      </c>
      <c r="M7" s="33">
        <v>0.86</v>
      </c>
      <c r="N7" s="31">
        <v>0.612</v>
      </c>
      <c r="O7" s="31">
        <v>0.103</v>
      </c>
      <c r="P7" s="32">
        <v>0.01</v>
      </c>
      <c r="Q7" s="31">
        <v>2.278</v>
      </c>
      <c r="R7" s="31">
        <v>1.803</v>
      </c>
      <c r="S7" s="31">
        <v>0.156</v>
      </c>
      <c r="T7" s="34">
        <v>0.214</v>
      </c>
      <c r="U7" s="35">
        <v>0.01</v>
      </c>
      <c r="V7" s="34">
        <v>2.296</v>
      </c>
      <c r="W7" s="34">
        <v>0.969</v>
      </c>
      <c r="X7" s="34">
        <v>0.679</v>
      </c>
      <c r="Y7" s="34">
        <v>0.57</v>
      </c>
      <c r="Z7" s="35">
        <v>0.01</v>
      </c>
    </row>
    <row r="8" ht="15.75" customHeight="1">
      <c r="A8" s="29"/>
      <c r="B8" s="17"/>
      <c r="C8" s="36">
        <v>2.291</v>
      </c>
      <c r="D8" s="36">
        <v>4.597</v>
      </c>
      <c r="E8" s="36">
        <v>4.627</v>
      </c>
      <c r="F8" s="36">
        <v>0.271</v>
      </c>
      <c r="G8" s="36">
        <v>1.243</v>
      </c>
      <c r="H8" s="36">
        <v>1.414</v>
      </c>
      <c r="I8" s="36">
        <v>0.497</v>
      </c>
      <c r="J8" s="36">
        <v>0.29</v>
      </c>
      <c r="K8" s="37"/>
      <c r="L8" s="36">
        <v>4.287</v>
      </c>
      <c r="M8" s="38">
        <v>1.136</v>
      </c>
      <c r="N8" s="36">
        <v>0.632</v>
      </c>
      <c r="O8" s="36">
        <v>0.144</v>
      </c>
      <c r="P8" s="37"/>
      <c r="Q8" s="36">
        <v>1.516</v>
      </c>
      <c r="R8" s="36">
        <v>0.439</v>
      </c>
      <c r="S8" s="36">
        <v>0.573</v>
      </c>
      <c r="T8" s="39"/>
      <c r="U8" s="39"/>
      <c r="V8" s="40">
        <v>1.63</v>
      </c>
      <c r="W8" s="40">
        <v>0.265</v>
      </c>
      <c r="X8" s="40">
        <v>0.476</v>
      </c>
      <c r="Y8" s="40">
        <v>0.66</v>
      </c>
      <c r="Z8" s="39"/>
    </row>
    <row r="9" ht="15.75" customHeight="1">
      <c r="A9" s="29"/>
      <c r="B9" s="17"/>
      <c r="C9" s="36">
        <v>0.219</v>
      </c>
      <c r="D9" s="36">
        <v>2.424</v>
      </c>
      <c r="E9" s="36">
        <v>6.978</v>
      </c>
      <c r="F9" s="36">
        <v>0.135</v>
      </c>
      <c r="G9" s="36">
        <v>1.662</v>
      </c>
      <c r="H9" s="36">
        <v>1.516</v>
      </c>
      <c r="I9" s="36">
        <v>0.987</v>
      </c>
      <c r="J9" s="36">
        <v>0.76</v>
      </c>
      <c r="K9" s="37"/>
      <c r="L9" s="36">
        <v>3.649</v>
      </c>
      <c r="M9" s="38">
        <v>1.617</v>
      </c>
      <c r="N9" s="36">
        <v>1.002</v>
      </c>
      <c r="O9" s="36">
        <v>0.403</v>
      </c>
      <c r="P9" s="37"/>
      <c r="Q9" s="36">
        <v>1.713</v>
      </c>
      <c r="R9" s="36">
        <v>0.879</v>
      </c>
      <c r="S9" s="36">
        <v>0.667</v>
      </c>
      <c r="T9" s="39"/>
      <c r="U9" s="39"/>
      <c r="V9" s="40">
        <v>1.821</v>
      </c>
      <c r="W9" s="40">
        <v>1.795</v>
      </c>
      <c r="X9" s="40">
        <v>0.413</v>
      </c>
      <c r="Y9" s="40">
        <v>0.33</v>
      </c>
      <c r="Z9" s="39"/>
    </row>
    <row r="10" ht="15.75" customHeight="1">
      <c r="A10" s="29"/>
      <c r="B10" s="17"/>
      <c r="C10" s="41">
        <v>0.59</v>
      </c>
      <c r="D10" s="41">
        <v>1.577</v>
      </c>
      <c r="E10" s="41">
        <v>4.695</v>
      </c>
      <c r="F10" s="36">
        <v>0.239</v>
      </c>
      <c r="G10" s="36">
        <v>1.519</v>
      </c>
      <c r="H10" s="36">
        <v>1.298</v>
      </c>
      <c r="I10" s="36">
        <v>0.691</v>
      </c>
      <c r="J10" s="36">
        <v>0.26</v>
      </c>
      <c r="K10" s="37"/>
      <c r="L10" s="36">
        <v>0.84</v>
      </c>
      <c r="M10" s="38">
        <v>1.522</v>
      </c>
      <c r="N10" s="36">
        <v>1.352</v>
      </c>
      <c r="O10" s="36">
        <v>0.647</v>
      </c>
      <c r="P10" s="37"/>
      <c r="Q10" s="36">
        <v>0.967</v>
      </c>
      <c r="R10" s="36">
        <v>1.009</v>
      </c>
      <c r="S10" s="36">
        <v>1.11</v>
      </c>
      <c r="T10" s="39"/>
      <c r="U10" s="39"/>
      <c r="V10" s="40">
        <v>2.112</v>
      </c>
      <c r="W10" s="40">
        <v>0.492</v>
      </c>
      <c r="X10" s="40">
        <v>0.81</v>
      </c>
      <c r="Y10" s="40">
        <v>0.258</v>
      </c>
      <c r="Z10" s="39"/>
    </row>
    <row r="11" ht="15.75" customHeight="1">
      <c r="A11" s="29"/>
      <c r="B11" s="17"/>
      <c r="C11" s="41">
        <v>2.771</v>
      </c>
      <c r="D11" s="41">
        <v>2.309</v>
      </c>
      <c r="E11" s="41">
        <v>2.856</v>
      </c>
      <c r="F11" s="36">
        <v>0.25</v>
      </c>
      <c r="G11" s="36">
        <v>1.916</v>
      </c>
      <c r="H11" s="36">
        <v>1.176</v>
      </c>
      <c r="I11" s="36">
        <v>0.247</v>
      </c>
      <c r="J11" s="37"/>
      <c r="K11" s="37"/>
      <c r="L11" s="36">
        <v>2.583</v>
      </c>
      <c r="M11" s="38">
        <v>1.344</v>
      </c>
      <c r="N11" s="36">
        <v>0.746</v>
      </c>
      <c r="O11" s="36">
        <v>1.07</v>
      </c>
      <c r="P11" s="37"/>
      <c r="Q11" s="36">
        <v>1.542</v>
      </c>
      <c r="R11" s="36">
        <v>1.918</v>
      </c>
      <c r="S11" s="36">
        <v>0.686</v>
      </c>
      <c r="T11" s="39"/>
      <c r="U11" s="39"/>
      <c r="V11" s="40">
        <v>2.913</v>
      </c>
      <c r="W11" s="40">
        <v>1.568</v>
      </c>
      <c r="X11" s="40">
        <v>0.475</v>
      </c>
      <c r="Y11" s="39"/>
      <c r="Z11" s="39"/>
    </row>
    <row r="12" ht="15.75" customHeight="1">
      <c r="A12" s="29"/>
      <c r="B12" s="17"/>
      <c r="C12" s="41">
        <v>2.191</v>
      </c>
      <c r="D12" s="41">
        <v>1.042</v>
      </c>
      <c r="E12" s="41">
        <v>6.766</v>
      </c>
      <c r="F12" s="36">
        <v>0.348</v>
      </c>
      <c r="G12" s="36">
        <v>2.827</v>
      </c>
      <c r="H12" s="36">
        <v>1.229</v>
      </c>
      <c r="I12" s="36">
        <v>0.691</v>
      </c>
      <c r="J12" s="37"/>
      <c r="K12" s="37"/>
      <c r="L12" s="36">
        <v>0.776</v>
      </c>
      <c r="M12" s="38">
        <v>1.202</v>
      </c>
      <c r="N12" s="36">
        <v>1.349</v>
      </c>
      <c r="O12" s="36">
        <v>0.389</v>
      </c>
      <c r="P12" s="37"/>
      <c r="Q12" s="36">
        <v>1.635</v>
      </c>
      <c r="R12" s="36">
        <v>1.46</v>
      </c>
      <c r="S12" s="36">
        <v>0.727</v>
      </c>
      <c r="T12" s="39"/>
      <c r="U12" s="39"/>
      <c r="V12" s="40">
        <v>2.242</v>
      </c>
      <c r="W12" s="40">
        <v>1.326</v>
      </c>
      <c r="X12" s="40">
        <v>0.761</v>
      </c>
      <c r="Y12" s="39"/>
      <c r="Z12" s="39"/>
    </row>
    <row r="13" ht="15.75" customHeight="1">
      <c r="A13" s="29"/>
      <c r="B13" s="17"/>
      <c r="C13" s="41">
        <v>1.638</v>
      </c>
      <c r="D13" s="41">
        <v>2.428</v>
      </c>
      <c r="E13" s="41">
        <v>6.372</v>
      </c>
      <c r="F13" s="36">
        <v>0.248</v>
      </c>
      <c r="G13" s="36">
        <v>1.449</v>
      </c>
      <c r="H13" s="36">
        <v>1.535</v>
      </c>
      <c r="I13" s="36">
        <v>0.655</v>
      </c>
      <c r="J13" s="37"/>
      <c r="K13" s="37"/>
      <c r="L13" s="36">
        <v>1.779</v>
      </c>
      <c r="M13" s="38">
        <v>1.416</v>
      </c>
      <c r="N13" s="36">
        <v>1.168</v>
      </c>
      <c r="O13" s="36">
        <v>0.719</v>
      </c>
      <c r="P13" s="37"/>
      <c r="Q13" s="36">
        <v>2.545</v>
      </c>
      <c r="R13" s="36">
        <v>0.926</v>
      </c>
      <c r="S13" s="36">
        <v>0.873</v>
      </c>
      <c r="T13" s="39"/>
      <c r="U13" s="39"/>
      <c r="V13" s="40">
        <v>2.822</v>
      </c>
      <c r="W13" s="40">
        <v>1.265</v>
      </c>
      <c r="X13" s="40">
        <v>0.357</v>
      </c>
      <c r="Y13" s="39"/>
      <c r="Z13" s="39"/>
    </row>
    <row r="14" ht="15.75" customHeight="1">
      <c r="A14" s="29"/>
      <c r="B14" s="17"/>
      <c r="C14" s="41">
        <v>3.76</v>
      </c>
      <c r="D14" s="41">
        <v>3.268</v>
      </c>
      <c r="E14" s="41">
        <v>2.572</v>
      </c>
      <c r="F14" s="36">
        <v>0.288</v>
      </c>
      <c r="G14" s="36">
        <v>1.002</v>
      </c>
      <c r="H14" s="36">
        <v>1.181</v>
      </c>
      <c r="I14" s="36">
        <v>0.563</v>
      </c>
      <c r="J14" s="37"/>
      <c r="K14" s="37"/>
      <c r="L14" s="36">
        <v>1.902</v>
      </c>
      <c r="M14" s="38">
        <v>2.013</v>
      </c>
      <c r="N14" s="36">
        <v>1.4</v>
      </c>
      <c r="O14" s="36">
        <v>0.653</v>
      </c>
      <c r="P14" s="37"/>
      <c r="Q14" s="36">
        <v>1.887</v>
      </c>
      <c r="R14" s="36">
        <v>0.707</v>
      </c>
      <c r="S14" s="36">
        <v>0.381</v>
      </c>
      <c r="T14" s="39"/>
      <c r="U14" s="39"/>
      <c r="V14" s="40">
        <v>2.326</v>
      </c>
      <c r="W14" s="40">
        <v>1.248</v>
      </c>
      <c r="X14" s="40">
        <v>0.426</v>
      </c>
      <c r="Y14" s="39"/>
      <c r="Z14" s="39"/>
    </row>
    <row r="15" ht="15.75" customHeight="1">
      <c r="A15" s="29"/>
      <c r="B15" s="17"/>
      <c r="C15" s="41">
        <v>2.414</v>
      </c>
      <c r="D15" s="41">
        <v>3.114</v>
      </c>
      <c r="E15" s="41">
        <v>2.806</v>
      </c>
      <c r="F15" s="36">
        <v>0.298</v>
      </c>
      <c r="G15" s="36">
        <v>1.574</v>
      </c>
      <c r="H15" s="36">
        <v>1.637</v>
      </c>
      <c r="I15" s="36">
        <v>0.885</v>
      </c>
      <c r="J15" s="37"/>
      <c r="K15" s="37"/>
      <c r="L15" s="36">
        <v>1.485</v>
      </c>
      <c r="M15" s="38">
        <v>0.307</v>
      </c>
      <c r="N15" s="36">
        <v>1.322</v>
      </c>
      <c r="O15" s="36">
        <v>0.63</v>
      </c>
      <c r="P15" s="37"/>
      <c r="Q15" s="36">
        <v>1.161</v>
      </c>
      <c r="R15" s="36">
        <v>0.997</v>
      </c>
      <c r="S15" s="36">
        <v>0.252</v>
      </c>
      <c r="T15" s="39"/>
      <c r="U15" s="39"/>
      <c r="V15" s="40">
        <v>0.365</v>
      </c>
      <c r="W15" s="40">
        <v>1.617</v>
      </c>
      <c r="X15" s="40">
        <v>0.516</v>
      </c>
      <c r="Y15" s="39"/>
      <c r="Z15" s="39"/>
    </row>
    <row r="16" ht="15.75" customHeight="1">
      <c r="A16" s="29"/>
      <c r="B16" s="28"/>
      <c r="C16" s="42">
        <v>3.888</v>
      </c>
      <c r="D16" s="42">
        <v>0.78</v>
      </c>
      <c r="E16" s="42">
        <v>1.057</v>
      </c>
      <c r="F16" s="43">
        <v>0.229</v>
      </c>
      <c r="G16" s="43">
        <v>1.502</v>
      </c>
      <c r="H16" s="43">
        <v>1.044</v>
      </c>
      <c r="I16" s="43">
        <v>0.47</v>
      </c>
      <c r="J16" s="44"/>
      <c r="K16" s="44"/>
      <c r="L16" s="43">
        <v>0.348</v>
      </c>
      <c r="M16" s="45">
        <v>1.026</v>
      </c>
      <c r="N16" s="36">
        <v>0.384</v>
      </c>
      <c r="O16" s="36">
        <v>0.777</v>
      </c>
      <c r="P16" s="37"/>
      <c r="Q16" s="36">
        <v>1.086</v>
      </c>
      <c r="R16" s="36">
        <v>1.284</v>
      </c>
      <c r="S16" s="36">
        <v>0.476</v>
      </c>
      <c r="T16" s="39"/>
      <c r="U16" s="39"/>
      <c r="V16" s="40">
        <v>2.093</v>
      </c>
      <c r="W16" s="40">
        <v>1.393</v>
      </c>
      <c r="X16" s="40">
        <v>0.623</v>
      </c>
      <c r="Y16" s="39"/>
      <c r="Z16" s="39"/>
    </row>
    <row r="17" ht="15.75" customHeight="1">
      <c r="A17" s="29"/>
      <c r="B17" s="46">
        <v>2.0</v>
      </c>
      <c r="C17" s="47">
        <v>1.812</v>
      </c>
      <c r="D17" s="47">
        <v>2.514</v>
      </c>
      <c r="E17" s="47">
        <v>2.643</v>
      </c>
      <c r="F17" s="31">
        <v>0.245</v>
      </c>
      <c r="G17" s="31">
        <v>1.285</v>
      </c>
      <c r="H17" s="31">
        <v>2.125</v>
      </c>
      <c r="I17" s="32"/>
      <c r="J17" s="32"/>
      <c r="K17" s="32"/>
      <c r="L17" s="31">
        <v>0.352</v>
      </c>
      <c r="M17" s="33">
        <v>1.68</v>
      </c>
      <c r="N17" s="31">
        <v>1.114</v>
      </c>
      <c r="O17" s="31">
        <v>0.712</v>
      </c>
      <c r="P17" s="32"/>
      <c r="Q17" s="31">
        <v>2.076</v>
      </c>
      <c r="R17" s="31">
        <v>1.394</v>
      </c>
      <c r="S17" s="31">
        <v>0.504</v>
      </c>
      <c r="T17" s="35"/>
      <c r="U17" s="35"/>
      <c r="V17" s="34">
        <v>0.164</v>
      </c>
      <c r="W17" s="34">
        <v>2.057</v>
      </c>
      <c r="X17" s="34">
        <v>0.794</v>
      </c>
      <c r="Y17" s="35"/>
      <c r="Z17" s="35"/>
    </row>
    <row r="18" ht="15.75" customHeight="1">
      <c r="A18" s="29"/>
      <c r="B18" s="17"/>
      <c r="C18" s="41">
        <v>0.908</v>
      </c>
      <c r="D18" s="41">
        <v>2.675</v>
      </c>
      <c r="E18" s="41">
        <v>2.259</v>
      </c>
      <c r="F18" s="36">
        <v>0.104</v>
      </c>
      <c r="G18" s="36">
        <v>2.003</v>
      </c>
      <c r="H18" s="36">
        <v>1.422</v>
      </c>
      <c r="I18" s="37"/>
      <c r="J18" s="37"/>
      <c r="K18" s="37"/>
      <c r="L18" s="36">
        <v>2.765</v>
      </c>
      <c r="M18" s="38">
        <v>1.351</v>
      </c>
      <c r="N18" s="36">
        <v>0.857</v>
      </c>
      <c r="O18" s="37"/>
      <c r="P18" s="37"/>
      <c r="Q18" s="36">
        <v>0.831</v>
      </c>
      <c r="R18" s="36">
        <v>0.74</v>
      </c>
      <c r="S18" s="36">
        <v>0.192</v>
      </c>
      <c r="T18" s="39"/>
      <c r="U18" s="39"/>
      <c r="V18" s="40">
        <v>3.332</v>
      </c>
      <c r="W18" s="40">
        <v>1.37</v>
      </c>
      <c r="X18" s="40">
        <v>0.94</v>
      </c>
      <c r="Y18" s="39"/>
      <c r="Z18" s="39"/>
    </row>
    <row r="19" ht="15.75" customHeight="1">
      <c r="A19" s="48"/>
      <c r="B19" s="17"/>
      <c r="C19" s="41">
        <v>0.629</v>
      </c>
      <c r="D19" s="41">
        <v>1.818</v>
      </c>
      <c r="E19" s="41">
        <v>2.19</v>
      </c>
      <c r="F19" s="36">
        <v>0.207</v>
      </c>
      <c r="G19" s="36">
        <v>1.967</v>
      </c>
      <c r="H19" s="36">
        <v>0.883</v>
      </c>
      <c r="I19" s="37"/>
      <c r="J19" s="37"/>
      <c r="K19" s="37"/>
      <c r="L19" s="36">
        <v>0.405</v>
      </c>
      <c r="M19" s="38">
        <v>1.475</v>
      </c>
      <c r="N19" s="37"/>
      <c r="O19" s="37"/>
      <c r="P19" s="37"/>
      <c r="Q19" s="36">
        <v>1.8</v>
      </c>
      <c r="R19" s="36">
        <v>0.77</v>
      </c>
      <c r="S19" s="36">
        <v>0.134</v>
      </c>
      <c r="T19" s="39"/>
      <c r="U19" s="39"/>
      <c r="V19" s="40">
        <v>2.371</v>
      </c>
      <c r="W19" s="40">
        <v>1.415</v>
      </c>
      <c r="X19" s="40">
        <v>0.226</v>
      </c>
      <c r="Y19" s="39"/>
      <c r="Z19" s="39"/>
    </row>
    <row r="20" ht="15.75" customHeight="1">
      <c r="A20" s="48"/>
      <c r="B20" s="17"/>
      <c r="C20" s="41">
        <v>1.818</v>
      </c>
      <c r="D20" s="41">
        <v>3.609</v>
      </c>
      <c r="E20" s="41">
        <v>1.343</v>
      </c>
      <c r="F20" s="36">
        <v>0.242</v>
      </c>
      <c r="G20" s="36">
        <v>0.408</v>
      </c>
      <c r="H20" s="36">
        <v>1.057</v>
      </c>
      <c r="I20" s="37"/>
      <c r="J20" s="37"/>
      <c r="K20" s="37"/>
      <c r="L20" s="36">
        <v>1.846</v>
      </c>
      <c r="M20" s="38">
        <v>1.189</v>
      </c>
      <c r="N20" s="37"/>
      <c r="O20" s="37"/>
      <c r="P20" s="37"/>
      <c r="Q20" s="36">
        <v>1.734</v>
      </c>
      <c r="R20" s="36">
        <v>1.057</v>
      </c>
      <c r="S20" s="37"/>
      <c r="T20" s="39"/>
      <c r="U20" s="39"/>
      <c r="V20" s="40">
        <v>2.666</v>
      </c>
      <c r="W20" s="40">
        <v>1.526</v>
      </c>
      <c r="X20" s="39"/>
      <c r="Y20" s="39"/>
      <c r="Z20" s="39"/>
    </row>
    <row r="21" ht="15.75" customHeight="1">
      <c r="A21" s="48"/>
      <c r="B21" s="17"/>
      <c r="C21" s="41">
        <v>0.633</v>
      </c>
      <c r="D21" s="41">
        <v>2.371</v>
      </c>
      <c r="E21" s="41">
        <v>2.886</v>
      </c>
      <c r="F21" s="36">
        <v>0.228</v>
      </c>
      <c r="G21" s="36">
        <v>2.284</v>
      </c>
      <c r="H21" s="36">
        <v>1.171</v>
      </c>
      <c r="I21" s="37"/>
      <c r="J21" s="37"/>
      <c r="K21" s="37"/>
      <c r="L21" s="36">
        <v>1.749</v>
      </c>
      <c r="M21" s="38">
        <v>0.614</v>
      </c>
      <c r="N21" s="37"/>
      <c r="O21" s="37"/>
      <c r="P21" s="37"/>
      <c r="Q21" s="37"/>
      <c r="R21" s="36">
        <v>0.975</v>
      </c>
      <c r="S21" s="37"/>
      <c r="T21" s="39"/>
      <c r="U21" s="39"/>
      <c r="V21" s="40">
        <v>0.427</v>
      </c>
      <c r="W21" s="40">
        <v>2.082</v>
      </c>
      <c r="X21" s="39"/>
      <c r="Y21" s="39"/>
      <c r="Z21" s="39"/>
    </row>
    <row r="22" ht="15.75" customHeight="1">
      <c r="A22" s="48"/>
      <c r="B22" s="17"/>
      <c r="C22" s="41">
        <v>1.994</v>
      </c>
      <c r="D22" s="41">
        <v>1.967</v>
      </c>
      <c r="E22" s="41">
        <v>1.12</v>
      </c>
      <c r="F22" s="36">
        <v>0.149</v>
      </c>
      <c r="G22" s="36">
        <v>2.142</v>
      </c>
      <c r="H22" s="36">
        <v>1.507</v>
      </c>
      <c r="I22" s="37"/>
      <c r="J22" s="37"/>
      <c r="K22" s="37"/>
      <c r="L22" s="36">
        <v>1.744</v>
      </c>
      <c r="M22" s="49"/>
      <c r="N22" s="37"/>
      <c r="O22" s="37"/>
      <c r="P22" s="37"/>
      <c r="Q22" s="37"/>
      <c r="R22" s="36">
        <v>0.658</v>
      </c>
      <c r="S22" s="37"/>
      <c r="T22" s="39"/>
      <c r="U22" s="39"/>
      <c r="V22" s="40">
        <v>0.819</v>
      </c>
      <c r="W22" s="40">
        <v>1.696</v>
      </c>
      <c r="X22" s="39"/>
      <c r="Y22" s="39"/>
      <c r="Z22" s="39"/>
    </row>
    <row r="23" ht="15.75" customHeight="1">
      <c r="A23" s="48"/>
      <c r="B23" s="17"/>
      <c r="C23" s="41">
        <v>1.369</v>
      </c>
      <c r="D23" s="41">
        <v>1.94</v>
      </c>
      <c r="E23" s="41">
        <v>1.929</v>
      </c>
      <c r="F23" s="36">
        <v>0.236</v>
      </c>
      <c r="G23" s="37"/>
      <c r="H23" s="37"/>
      <c r="I23" s="37"/>
      <c r="J23" s="37"/>
      <c r="K23" s="37"/>
      <c r="L23" s="36">
        <v>2.257</v>
      </c>
      <c r="M23" s="49"/>
      <c r="N23" s="37"/>
      <c r="O23" s="37"/>
      <c r="P23" s="37"/>
      <c r="Q23" s="37"/>
      <c r="R23" s="36">
        <v>0.372</v>
      </c>
      <c r="S23" s="37"/>
      <c r="T23" s="39"/>
      <c r="U23" s="39"/>
      <c r="V23" s="40">
        <v>3.538</v>
      </c>
      <c r="W23" s="40">
        <v>1.711</v>
      </c>
      <c r="X23" s="39"/>
      <c r="Y23" s="39"/>
      <c r="Z23" s="39"/>
    </row>
    <row r="24" ht="15.75" customHeight="1">
      <c r="A24" s="48"/>
      <c r="B24" s="17"/>
      <c r="C24" s="41">
        <v>2.2</v>
      </c>
      <c r="D24" s="41">
        <v>2.308</v>
      </c>
      <c r="E24" s="41">
        <v>3.165</v>
      </c>
      <c r="F24" s="37"/>
      <c r="G24" s="37"/>
      <c r="H24" s="37"/>
      <c r="I24" s="37"/>
      <c r="J24" s="37"/>
      <c r="K24" s="37"/>
      <c r="L24" s="36">
        <v>0.35</v>
      </c>
      <c r="M24" s="49"/>
      <c r="N24" s="37"/>
      <c r="O24" s="37"/>
      <c r="P24" s="37"/>
      <c r="Q24" s="37"/>
      <c r="R24" s="37"/>
      <c r="S24" s="37"/>
      <c r="T24" s="39"/>
      <c r="U24" s="39"/>
      <c r="V24" s="40">
        <v>2.62</v>
      </c>
      <c r="W24" s="40">
        <v>1.427</v>
      </c>
      <c r="X24" s="39"/>
      <c r="Y24" s="39"/>
      <c r="Z24" s="39"/>
    </row>
    <row r="25" ht="15.75" customHeight="1">
      <c r="A25" s="48"/>
      <c r="B25" s="17"/>
      <c r="C25" s="41">
        <v>2.115</v>
      </c>
      <c r="D25" s="41">
        <v>3.926</v>
      </c>
      <c r="E25" s="41">
        <v>6.093</v>
      </c>
      <c r="F25" s="37"/>
      <c r="G25" s="37"/>
      <c r="H25" s="37"/>
      <c r="I25" s="37"/>
      <c r="J25" s="37"/>
      <c r="K25" s="37"/>
      <c r="L25" s="37"/>
      <c r="M25" s="49"/>
      <c r="N25" s="37"/>
      <c r="O25" s="37"/>
      <c r="P25" s="37"/>
      <c r="Q25" s="37"/>
      <c r="R25" s="37"/>
      <c r="S25" s="37"/>
      <c r="T25" s="39"/>
      <c r="U25" s="39"/>
      <c r="V25" s="39"/>
      <c r="W25" s="39"/>
      <c r="X25" s="39"/>
      <c r="Y25" s="39"/>
      <c r="Z25" s="39"/>
    </row>
    <row r="26" ht="15.75" customHeight="1">
      <c r="B26" s="28"/>
      <c r="C26" s="44"/>
      <c r="D26" s="43">
        <v>3.863</v>
      </c>
      <c r="E26" s="44"/>
      <c r="F26" s="44"/>
      <c r="G26" s="44"/>
      <c r="H26" s="44"/>
      <c r="I26" s="44"/>
      <c r="J26" s="44"/>
      <c r="K26" s="44"/>
      <c r="L26" s="44"/>
      <c r="M26" s="50"/>
      <c r="N26" s="44"/>
      <c r="O26" s="44"/>
      <c r="P26" s="44"/>
      <c r="Q26" s="44"/>
      <c r="R26" s="44"/>
      <c r="S26" s="44"/>
      <c r="T26" s="51"/>
      <c r="U26" s="51"/>
      <c r="V26" s="51"/>
      <c r="W26" s="51"/>
      <c r="X26" s="51"/>
      <c r="Y26" s="51"/>
      <c r="Z26" s="51"/>
    </row>
    <row r="27" ht="19.5" customHeight="1">
      <c r="B27" s="52" t="s">
        <v>15</v>
      </c>
      <c r="C27" s="53">
        <f t="shared" ref="C27:J27" si="1">AVERAGE(C7:C26)</f>
        <v>1.869789474</v>
      </c>
      <c r="D27" s="53">
        <f t="shared" si="1"/>
        <v>2.5465</v>
      </c>
      <c r="E27" s="53">
        <f t="shared" si="1"/>
        <v>3.390315789</v>
      </c>
      <c r="F27" s="53">
        <f t="shared" si="1"/>
        <v>0.2382352941</v>
      </c>
      <c r="G27" s="53">
        <f t="shared" si="1"/>
        <v>1.57425</v>
      </c>
      <c r="H27" s="53">
        <f t="shared" si="1"/>
        <v>1.3716875</v>
      </c>
      <c r="I27" s="53">
        <f t="shared" si="1"/>
        <v>0.6356</v>
      </c>
      <c r="J27" s="53">
        <f t="shared" si="1"/>
        <v>0.4085</v>
      </c>
      <c r="K27" s="53">
        <v>0.0</v>
      </c>
      <c r="L27" s="53">
        <f t="shared" ref="L27:Z27" si="2">AVERAGE(L7:L26)</f>
        <v>1.862944444</v>
      </c>
      <c r="M27" s="53">
        <f t="shared" si="2"/>
        <v>1.250133333</v>
      </c>
      <c r="N27" s="53">
        <f t="shared" si="2"/>
        <v>0.9948333333</v>
      </c>
      <c r="O27" s="53">
        <f t="shared" si="2"/>
        <v>0.5679090909</v>
      </c>
      <c r="P27" s="53">
        <f t="shared" si="2"/>
        <v>0.01</v>
      </c>
      <c r="Q27" s="53">
        <f t="shared" si="2"/>
        <v>1.6265</v>
      </c>
      <c r="R27" s="53">
        <f t="shared" si="2"/>
        <v>1.022823529</v>
      </c>
      <c r="S27" s="53">
        <f t="shared" si="2"/>
        <v>0.5177692308</v>
      </c>
      <c r="T27" s="53">
        <f t="shared" si="2"/>
        <v>0.214</v>
      </c>
      <c r="U27" s="53">
        <f t="shared" si="2"/>
        <v>0.01</v>
      </c>
      <c r="V27" s="53">
        <f t="shared" si="2"/>
        <v>2.030944444</v>
      </c>
      <c r="W27" s="53">
        <f t="shared" si="2"/>
        <v>1.401222222</v>
      </c>
      <c r="X27" s="53">
        <f t="shared" si="2"/>
        <v>0.5766153846</v>
      </c>
      <c r="Y27" s="53">
        <f t="shared" si="2"/>
        <v>0.4545</v>
      </c>
      <c r="Z27" s="53">
        <f t="shared" si="2"/>
        <v>0.01</v>
      </c>
    </row>
    <row r="28" ht="15.75" customHeight="1">
      <c r="B28" s="52" t="s">
        <v>16</v>
      </c>
      <c r="C28" s="53">
        <f t="shared" ref="C28:J28" si="3">STDEV(C7:C26)</f>
        <v>1.001681563</v>
      </c>
      <c r="D28" s="53">
        <f t="shared" si="3"/>
        <v>0.9619821368</v>
      </c>
      <c r="E28" s="53">
        <f t="shared" si="3"/>
        <v>1.933219423</v>
      </c>
      <c r="F28" s="53">
        <f t="shared" si="3"/>
        <v>0.06435014512</v>
      </c>
      <c r="G28" s="53">
        <f t="shared" si="3"/>
        <v>0.6392780824</v>
      </c>
      <c r="H28" s="53">
        <f t="shared" si="3"/>
        <v>0.3096858018</v>
      </c>
      <c r="I28" s="53">
        <f t="shared" si="3"/>
        <v>0.2098397272</v>
      </c>
      <c r="J28" s="53">
        <f t="shared" si="3"/>
        <v>0.2357873336</v>
      </c>
      <c r="K28" s="53">
        <v>0.0</v>
      </c>
      <c r="L28" s="53">
        <f t="shared" ref="L28:Z28" si="4">STDEV(L7:L26)</f>
        <v>1.294124845</v>
      </c>
      <c r="M28" s="53">
        <f t="shared" si="4"/>
        <v>0.4299503072</v>
      </c>
      <c r="N28" s="53">
        <f t="shared" si="4"/>
        <v>0.3438659446</v>
      </c>
      <c r="O28" s="53">
        <f t="shared" si="4"/>
        <v>0.2849208503</v>
      </c>
      <c r="P28" s="53" t="str">
        <f t="shared" si="4"/>
        <v>#DIV/0!</v>
      </c>
      <c r="Q28" s="53">
        <f t="shared" si="4"/>
        <v>0.4948317119</v>
      </c>
      <c r="R28" s="53">
        <f t="shared" si="4"/>
        <v>0.4317600947</v>
      </c>
      <c r="S28" s="53">
        <f t="shared" si="4"/>
        <v>0.2957871289</v>
      </c>
      <c r="T28" s="53" t="str">
        <f t="shared" si="4"/>
        <v>#DIV/0!</v>
      </c>
      <c r="U28" s="53" t="str">
        <f t="shared" si="4"/>
        <v>#DIV/0!</v>
      </c>
      <c r="V28" s="53">
        <f t="shared" si="4"/>
        <v>0.9986191332</v>
      </c>
      <c r="W28" s="53">
        <f t="shared" si="4"/>
        <v>0.4649766035</v>
      </c>
      <c r="X28" s="53">
        <f t="shared" si="4"/>
        <v>0.2091939047</v>
      </c>
      <c r="Y28" s="53">
        <f t="shared" si="4"/>
        <v>0.1912093094</v>
      </c>
      <c r="Z28" s="53" t="str">
        <f t="shared" si="4"/>
        <v>#DIV/0!</v>
      </c>
    </row>
    <row r="29" ht="15.75" customHeight="1">
      <c r="B29" s="52" t="s">
        <v>17</v>
      </c>
      <c r="C29" s="53">
        <f t="shared" ref="C29:Z29" si="5">(C$27/$D$27)*100</f>
        <v>73.42585799</v>
      </c>
      <c r="D29" s="53">
        <f t="shared" si="5"/>
        <v>100</v>
      </c>
      <c r="E29" s="53">
        <f t="shared" si="5"/>
        <v>133.1362965</v>
      </c>
      <c r="F29" s="53">
        <f t="shared" si="5"/>
        <v>9.355401301</v>
      </c>
      <c r="G29" s="53">
        <f t="shared" si="5"/>
        <v>61.8201453</v>
      </c>
      <c r="H29" s="53">
        <f t="shared" si="5"/>
        <v>53.86559984</v>
      </c>
      <c r="I29" s="53">
        <f t="shared" si="5"/>
        <v>24.95974867</v>
      </c>
      <c r="J29" s="53">
        <f t="shared" si="5"/>
        <v>16.04162576</v>
      </c>
      <c r="K29" s="53">
        <f t="shared" si="5"/>
        <v>0</v>
      </c>
      <c r="L29" s="53">
        <f t="shared" si="5"/>
        <v>73.15705653</v>
      </c>
      <c r="M29" s="53">
        <f t="shared" si="5"/>
        <v>49.09221808</v>
      </c>
      <c r="N29" s="53">
        <f t="shared" si="5"/>
        <v>39.06669285</v>
      </c>
      <c r="O29" s="53">
        <f t="shared" si="5"/>
        <v>22.30155472</v>
      </c>
      <c r="P29" s="53">
        <f t="shared" si="5"/>
        <v>0.3926958571</v>
      </c>
      <c r="Q29" s="53">
        <f t="shared" si="5"/>
        <v>63.87198115</v>
      </c>
      <c r="R29" s="53">
        <f t="shared" si="5"/>
        <v>40.16585625</v>
      </c>
      <c r="S29" s="53">
        <f t="shared" si="5"/>
        <v>20.33258318</v>
      </c>
      <c r="T29" s="53">
        <f t="shared" si="5"/>
        <v>8.403691341</v>
      </c>
      <c r="U29" s="53">
        <f t="shared" si="5"/>
        <v>0.3926958571</v>
      </c>
      <c r="V29" s="53">
        <f t="shared" si="5"/>
        <v>79.75434692</v>
      </c>
      <c r="W29" s="53">
        <f t="shared" si="5"/>
        <v>55.02541615</v>
      </c>
      <c r="X29" s="53">
        <f t="shared" si="5"/>
        <v>22.64344727</v>
      </c>
      <c r="Y29" s="53">
        <f t="shared" si="5"/>
        <v>17.8480267</v>
      </c>
      <c r="Z29" s="53">
        <f t="shared" si="5"/>
        <v>0.3926958571</v>
      </c>
    </row>
    <row r="30" ht="15.75" customHeight="1">
      <c r="B30" s="52" t="s">
        <v>18</v>
      </c>
      <c r="C30" s="53">
        <f t="shared" ref="C30:Z30" si="6">(C27-$D$27)/($D$27)</f>
        <v>-0.2657414201</v>
      </c>
      <c r="D30" s="53">
        <f t="shared" si="6"/>
        <v>0</v>
      </c>
      <c r="E30" s="53">
        <f t="shared" si="6"/>
        <v>0.3313629646</v>
      </c>
      <c r="F30" s="53">
        <f t="shared" si="6"/>
        <v>-0.906445987</v>
      </c>
      <c r="G30" s="53">
        <f t="shared" si="6"/>
        <v>-0.381798547</v>
      </c>
      <c r="H30" s="53">
        <f t="shared" si="6"/>
        <v>-0.4613440016</v>
      </c>
      <c r="I30" s="53">
        <f t="shared" si="6"/>
        <v>-0.7504025133</v>
      </c>
      <c r="J30" s="53">
        <f t="shared" si="6"/>
        <v>-0.8395837424</v>
      </c>
      <c r="K30" s="53">
        <f t="shared" si="6"/>
        <v>-1</v>
      </c>
      <c r="L30" s="53">
        <f t="shared" si="6"/>
        <v>-0.2684294347</v>
      </c>
      <c r="M30" s="53">
        <f t="shared" si="6"/>
        <v>-0.5090778192</v>
      </c>
      <c r="N30" s="53">
        <f t="shared" si="6"/>
        <v>-0.6093330715</v>
      </c>
      <c r="O30" s="53">
        <f t="shared" si="6"/>
        <v>-0.7769844528</v>
      </c>
      <c r="P30" s="53">
        <f t="shared" si="6"/>
        <v>-0.9960730414</v>
      </c>
      <c r="Q30" s="53">
        <f t="shared" si="6"/>
        <v>-0.3612801885</v>
      </c>
      <c r="R30" s="53">
        <f t="shared" si="6"/>
        <v>-0.5983414375</v>
      </c>
      <c r="S30" s="53">
        <f t="shared" si="6"/>
        <v>-0.7966741682</v>
      </c>
      <c r="T30" s="53">
        <f t="shared" si="6"/>
        <v>-0.9159630866</v>
      </c>
      <c r="U30" s="53">
        <f t="shared" si="6"/>
        <v>-0.9960730414</v>
      </c>
      <c r="V30" s="53">
        <f t="shared" si="6"/>
        <v>-0.2024565308</v>
      </c>
      <c r="W30" s="53">
        <f t="shared" si="6"/>
        <v>-0.4497458385</v>
      </c>
      <c r="X30" s="53">
        <f t="shared" si="6"/>
        <v>-0.7735655273</v>
      </c>
      <c r="Y30" s="53">
        <f t="shared" si="6"/>
        <v>-0.821519733</v>
      </c>
      <c r="Z30" s="53">
        <f t="shared" si="6"/>
        <v>-0.9960730414</v>
      </c>
    </row>
    <row r="31" ht="15.75" customHeight="1"/>
    <row r="32" ht="15.75" customHeight="1">
      <c r="B32" s="54" t="s">
        <v>19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</row>
    <row r="33" ht="15.75" customHeight="1">
      <c r="B33" s="55" t="s">
        <v>20</v>
      </c>
      <c r="C33" s="56" t="s">
        <v>21</v>
      </c>
      <c r="D33" s="56" t="s">
        <v>22</v>
      </c>
      <c r="E33" s="57" t="s">
        <v>23</v>
      </c>
      <c r="F33" s="58"/>
      <c r="G33" s="57" t="s">
        <v>15</v>
      </c>
      <c r="H33" s="58"/>
      <c r="I33" s="59" t="s">
        <v>24</v>
      </c>
      <c r="J33" s="58"/>
      <c r="K33" s="59" t="s">
        <v>25</v>
      </c>
      <c r="L33" s="58"/>
      <c r="M33" s="59" t="s">
        <v>17</v>
      </c>
      <c r="N33" s="58"/>
      <c r="O33" s="59" t="s">
        <v>26</v>
      </c>
      <c r="P33" s="58"/>
      <c r="Q33" s="59" t="s">
        <v>27</v>
      </c>
      <c r="R33" s="60"/>
      <c r="S33" s="59" t="s">
        <v>18</v>
      </c>
      <c r="T33" s="60"/>
      <c r="U33" s="61"/>
      <c r="V33" s="61"/>
    </row>
    <row r="34" ht="15.75" customHeight="1">
      <c r="B34" s="28"/>
      <c r="C34" s="28"/>
      <c r="D34" s="28"/>
      <c r="E34" s="62"/>
      <c r="F34" s="63"/>
      <c r="G34" s="62"/>
      <c r="H34" s="63"/>
      <c r="I34" s="62"/>
      <c r="J34" s="63"/>
      <c r="K34" s="62"/>
      <c r="L34" s="63"/>
      <c r="M34" s="62"/>
      <c r="N34" s="63"/>
      <c r="O34" s="62"/>
      <c r="P34" s="63"/>
      <c r="Q34" s="62"/>
      <c r="R34" s="64"/>
      <c r="S34" s="62"/>
      <c r="T34" s="64"/>
      <c r="U34" s="61"/>
      <c r="V34" s="61"/>
    </row>
    <row r="35" ht="15.75" customHeight="1">
      <c r="B35" s="65" t="s">
        <v>3</v>
      </c>
      <c r="C35" s="66" t="s">
        <v>8</v>
      </c>
      <c r="D35" s="67">
        <v>1.0</v>
      </c>
      <c r="E35" s="68">
        <v>9.0</v>
      </c>
      <c r="F35" s="63"/>
      <c r="G35" s="69">
        <f>AVERAGE(E35:F36)</f>
        <v>9.5</v>
      </c>
      <c r="H35" s="70"/>
      <c r="I35" s="69">
        <f>(G35/10)*100</f>
        <v>95</v>
      </c>
      <c r="J35" s="70"/>
      <c r="K35" s="69">
        <f>(G35/$G$37)*100</f>
        <v>95</v>
      </c>
      <c r="L35" s="70"/>
      <c r="M35" s="69">
        <f>C29</f>
        <v>73.42585799</v>
      </c>
      <c r="N35" s="70"/>
      <c r="O35" s="69">
        <f>(K35*M35)/100</f>
        <v>69.75456509</v>
      </c>
      <c r="P35" s="70"/>
      <c r="Q35" s="69">
        <f>(G35-$G$37)/$G$37</f>
        <v>-0.05</v>
      </c>
      <c r="R35" s="70"/>
      <c r="S35" s="69">
        <f t="array" ref="S35">INDEX($C$30:$Z$30, INT((ROW(A1)+1)/2))</f>
        <v>-0.2657414201</v>
      </c>
      <c r="T35" s="70"/>
    </row>
    <row r="36" ht="15.75" customHeight="1">
      <c r="B36" s="17"/>
      <c r="C36" s="28"/>
      <c r="D36" s="67">
        <v>2.0</v>
      </c>
      <c r="E36" s="68">
        <v>10.0</v>
      </c>
      <c r="F36" s="63"/>
      <c r="G36" s="64"/>
      <c r="H36" s="63"/>
      <c r="I36" s="64"/>
      <c r="J36" s="63"/>
      <c r="K36" s="64"/>
      <c r="L36" s="63"/>
      <c r="M36" s="64"/>
      <c r="N36" s="63"/>
      <c r="O36" s="64"/>
      <c r="P36" s="63"/>
      <c r="Q36" s="64"/>
      <c r="R36" s="63"/>
      <c r="S36" s="64"/>
      <c r="T36" s="63"/>
    </row>
    <row r="37" ht="15.75" customHeight="1">
      <c r="B37" s="17"/>
      <c r="C37" s="66" t="s">
        <v>9</v>
      </c>
      <c r="D37" s="67">
        <v>1.0</v>
      </c>
      <c r="E37" s="68">
        <v>10.0</v>
      </c>
      <c r="F37" s="63"/>
      <c r="G37" s="69">
        <f>AVERAGE(E37:F38)</f>
        <v>10</v>
      </c>
      <c r="H37" s="70"/>
      <c r="I37" s="69">
        <f>(G37/10)*100</f>
        <v>100</v>
      </c>
      <c r="J37" s="70"/>
      <c r="K37" s="69">
        <f>(G37/$G$37)*100</f>
        <v>100</v>
      </c>
      <c r="L37" s="70"/>
      <c r="M37" s="69">
        <f>D29</f>
        <v>100</v>
      </c>
      <c r="N37" s="70"/>
      <c r="O37" s="69">
        <f>(K37*M37)/100</f>
        <v>100</v>
      </c>
      <c r="P37" s="70"/>
      <c r="Q37" s="69">
        <f>(G37-$G$37)/$G$37</f>
        <v>0</v>
      </c>
      <c r="R37" s="70"/>
      <c r="S37" s="69">
        <f t="array" ref="S37">INDEX($C$30:$Z$30, INT((ROW(A3)+1)/2))</f>
        <v>0</v>
      </c>
      <c r="T37" s="70"/>
    </row>
    <row r="38" ht="15.75" customHeight="1">
      <c r="B38" s="17"/>
      <c r="C38" s="28"/>
      <c r="D38" s="67">
        <v>2.0</v>
      </c>
      <c r="E38" s="68">
        <v>10.0</v>
      </c>
      <c r="F38" s="63"/>
      <c r="G38" s="64"/>
      <c r="H38" s="63"/>
      <c r="I38" s="64"/>
      <c r="J38" s="63"/>
      <c r="K38" s="64"/>
      <c r="L38" s="63"/>
      <c r="M38" s="64"/>
      <c r="N38" s="63"/>
      <c r="O38" s="64"/>
      <c r="P38" s="63"/>
      <c r="Q38" s="64"/>
      <c r="R38" s="63"/>
      <c r="S38" s="64"/>
      <c r="T38" s="63"/>
    </row>
    <row r="39" ht="15.75" customHeight="1">
      <c r="B39" s="17"/>
      <c r="C39" s="66" t="s">
        <v>10</v>
      </c>
      <c r="D39" s="67">
        <v>1.0</v>
      </c>
      <c r="E39" s="68">
        <v>9.0</v>
      </c>
      <c r="F39" s="63"/>
      <c r="G39" s="69">
        <f>AVERAGE(E39:F40)</f>
        <v>9.5</v>
      </c>
      <c r="H39" s="70"/>
      <c r="I39" s="69">
        <f>(G39/10)*100</f>
        <v>95</v>
      </c>
      <c r="J39" s="70"/>
      <c r="K39" s="69">
        <f>(G39/$G$37)*100</f>
        <v>95</v>
      </c>
      <c r="L39" s="70"/>
      <c r="M39" s="69">
        <f>E29</f>
        <v>133.1362965</v>
      </c>
      <c r="N39" s="70"/>
      <c r="O39" s="69">
        <f>(K39*M39)/100</f>
        <v>126.4794816</v>
      </c>
      <c r="P39" s="70"/>
      <c r="Q39" s="69">
        <f>(G39-$G$37)/$G$37</f>
        <v>-0.05</v>
      </c>
      <c r="R39" s="70"/>
      <c r="S39" s="69">
        <f t="array" ref="S39">INDEX($C$30:$Z$30, INT((ROW(A5)+1)/2))</f>
        <v>0.3313629646</v>
      </c>
      <c r="T39" s="70"/>
    </row>
    <row r="40" ht="15.75" customHeight="1">
      <c r="B40" s="17"/>
      <c r="C40" s="28"/>
      <c r="D40" s="67">
        <v>2.0</v>
      </c>
      <c r="E40" s="68">
        <v>10.0</v>
      </c>
      <c r="F40" s="63"/>
      <c r="G40" s="64"/>
      <c r="H40" s="63"/>
      <c r="I40" s="64"/>
      <c r="J40" s="63"/>
      <c r="K40" s="64"/>
      <c r="L40" s="63"/>
      <c r="M40" s="64"/>
      <c r="N40" s="63"/>
      <c r="O40" s="64"/>
      <c r="P40" s="63"/>
      <c r="Q40" s="64"/>
      <c r="R40" s="63"/>
      <c r="S40" s="64"/>
      <c r="T40" s="63"/>
    </row>
    <row r="41" ht="15.75" customHeight="1">
      <c r="B41" s="17"/>
      <c r="C41" s="66" t="s">
        <v>11</v>
      </c>
      <c r="D41" s="67">
        <v>1.0</v>
      </c>
      <c r="E41" s="71">
        <v>7.0</v>
      </c>
      <c r="F41" s="63"/>
      <c r="G41" s="69">
        <f>AVERAGE(E41:F42)</f>
        <v>8</v>
      </c>
      <c r="H41" s="70"/>
      <c r="I41" s="69">
        <f>(G41/10)*100</f>
        <v>80</v>
      </c>
      <c r="J41" s="70"/>
      <c r="K41" s="69">
        <f>(G41/$G$37)*100</f>
        <v>80</v>
      </c>
      <c r="L41" s="70"/>
      <c r="M41" s="69">
        <f>F29</f>
        <v>9.355401301</v>
      </c>
      <c r="N41" s="70"/>
      <c r="O41" s="69">
        <f>(K41*M41)/100</f>
        <v>7.48432104</v>
      </c>
      <c r="P41" s="70"/>
      <c r="Q41" s="69">
        <f>(G41-$G$37)/$G$37</f>
        <v>-0.2</v>
      </c>
      <c r="R41" s="70"/>
      <c r="S41" s="69">
        <f t="array" ref="S41">INDEX($C$30:$Z$30, INT((ROW(A7)+1)/2))</f>
        <v>-0.906445987</v>
      </c>
      <c r="T41" s="70"/>
    </row>
    <row r="42" ht="15.75" customHeight="1">
      <c r="B42" s="28"/>
      <c r="C42" s="28"/>
      <c r="D42" s="67">
        <v>2.0</v>
      </c>
      <c r="E42" s="71">
        <v>9.0</v>
      </c>
      <c r="F42" s="63"/>
      <c r="G42" s="64"/>
      <c r="H42" s="63"/>
      <c r="I42" s="64"/>
      <c r="J42" s="63"/>
      <c r="K42" s="64"/>
      <c r="L42" s="63"/>
      <c r="M42" s="64"/>
      <c r="N42" s="63"/>
      <c r="O42" s="64"/>
      <c r="P42" s="63"/>
      <c r="Q42" s="64"/>
      <c r="R42" s="63"/>
      <c r="S42" s="64"/>
      <c r="T42" s="63"/>
    </row>
    <row r="43" ht="15.75" customHeight="1">
      <c r="B43" s="72" t="s">
        <v>4</v>
      </c>
      <c r="C43" s="73">
        <v>0.0</v>
      </c>
      <c r="D43" s="74">
        <v>1.0</v>
      </c>
      <c r="E43" s="68">
        <v>10.0</v>
      </c>
      <c r="F43" s="63"/>
      <c r="G43" s="69">
        <f>AVERAGE(E43:F44)</f>
        <v>8.5</v>
      </c>
      <c r="H43" s="70"/>
      <c r="I43" s="69">
        <f>(G43/10)*100</f>
        <v>85</v>
      </c>
      <c r="J43" s="70"/>
      <c r="K43" s="69">
        <f>(G43/$G$37)*100</f>
        <v>85</v>
      </c>
      <c r="L43" s="70"/>
      <c r="M43" s="69">
        <f>G29</f>
        <v>61.8201453</v>
      </c>
      <c r="N43" s="70"/>
      <c r="O43" s="69">
        <f>(K43*M43)/100</f>
        <v>52.5471235</v>
      </c>
      <c r="P43" s="70"/>
      <c r="Q43" s="69">
        <f>(G43-$G$37)/$G$37</f>
        <v>-0.15</v>
      </c>
      <c r="R43" s="70"/>
      <c r="S43" s="69">
        <f t="array" ref="S43">INDEX($C$30:$Z$30, INT((ROW(A9)+1)/2))</f>
        <v>-0.381798547</v>
      </c>
      <c r="T43" s="70"/>
    </row>
    <row r="44" ht="15.75" customHeight="1">
      <c r="B44" s="17"/>
      <c r="C44" s="28"/>
      <c r="D44" s="74">
        <v>2.0</v>
      </c>
      <c r="E44" s="68">
        <v>7.0</v>
      </c>
      <c r="F44" s="63"/>
      <c r="G44" s="64"/>
      <c r="H44" s="63"/>
      <c r="I44" s="64"/>
      <c r="J44" s="63"/>
      <c r="K44" s="64"/>
      <c r="L44" s="63"/>
      <c r="M44" s="64"/>
      <c r="N44" s="63"/>
      <c r="O44" s="64"/>
      <c r="P44" s="63"/>
      <c r="Q44" s="64"/>
      <c r="R44" s="63"/>
      <c r="S44" s="64"/>
      <c r="T44" s="63"/>
    </row>
    <row r="45" ht="15.75" customHeight="1">
      <c r="B45" s="17"/>
      <c r="C45" s="73">
        <v>25.0</v>
      </c>
      <c r="D45" s="74">
        <v>1.0</v>
      </c>
      <c r="E45" s="68">
        <v>9.0</v>
      </c>
      <c r="F45" s="63"/>
      <c r="G45" s="69">
        <f>AVERAGE(E45:F46)</f>
        <v>8</v>
      </c>
      <c r="H45" s="70"/>
      <c r="I45" s="69">
        <f>(G45/10)*100</f>
        <v>80</v>
      </c>
      <c r="J45" s="70"/>
      <c r="K45" s="69">
        <f>(G45/$G$37)*100</f>
        <v>80</v>
      </c>
      <c r="L45" s="70"/>
      <c r="M45" s="69">
        <f>H29</f>
        <v>53.86559984</v>
      </c>
      <c r="N45" s="70"/>
      <c r="O45" s="69">
        <f>(K45*M45)/100</f>
        <v>43.09247987</v>
      </c>
      <c r="P45" s="70"/>
      <c r="Q45" s="69">
        <f>(G45-$G$37)/$G$37</f>
        <v>-0.2</v>
      </c>
      <c r="R45" s="70"/>
      <c r="S45" s="69">
        <f t="array" ref="S45">INDEX($C$30:$Z$30, INT((ROW(A11)+1)/2))</f>
        <v>-0.4613440016</v>
      </c>
      <c r="T45" s="70"/>
    </row>
    <row r="46" ht="15.75" customHeight="1">
      <c r="B46" s="17"/>
      <c r="C46" s="28"/>
      <c r="D46" s="74">
        <v>2.0</v>
      </c>
      <c r="E46" s="68">
        <v>7.0</v>
      </c>
      <c r="F46" s="63"/>
      <c r="G46" s="64"/>
      <c r="H46" s="63"/>
      <c r="I46" s="64"/>
      <c r="J46" s="63"/>
      <c r="K46" s="64"/>
      <c r="L46" s="63"/>
      <c r="M46" s="64"/>
      <c r="N46" s="63"/>
      <c r="O46" s="64"/>
      <c r="P46" s="63"/>
      <c r="Q46" s="64"/>
      <c r="R46" s="63"/>
      <c r="S46" s="64"/>
      <c r="T46" s="63"/>
    </row>
    <row r="47" ht="15.75" customHeight="1">
      <c r="B47" s="17"/>
      <c r="C47" s="73">
        <v>50.0</v>
      </c>
      <c r="D47" s="74">
        <v>1.0</v>
      </c>
      <c r="E47" s="68">
        <v>4.0</v>
      </c>
      <c r="F47" s="63"/>
      <c r="G47" s="69">
        <f>AVERAGE(E47:F48)</f>
        <v>5</v>
      </c>
      <c r="H47" s="70"/>
      <c r="I47" s="69">
        <f>(G47/10)*100</f>
        <v>50</v>
      </c>
      <c r="J47" s="70"/>
      <c r="K47" s="69">
        <f>(G47/$G$37)*100</f>
        <v>50</v>
      </c>
      <c r="L47" s="70"/>
      <c r="M47" s="69">
        <f>I29</f>
        <v>24.95974867</v>
      </c>
      <c r="N47" s="70"/>
      <c r="O47" s="69">
        <f>(K47*M47)/100</f>
        <v>12.47987434</v>
      </c>
      <c r="P47" s="70"/>
      <c r="Q47" s="69">
        <f>(G47-$G$37)/$G$37</f>
        <v>-0.5</v>
      </c>
      <c r="R47" s="70"/>
      <c r="S47" s="69">
        <f t="array" ref="S47">INDEX($C$30:$Z$30, INT((ROW(A13)+1)/2))</f>
        <v>-0.7504025133</v>
      </c>
      <c r="T47" s="70"/>
    </row>
    <row r="48" ht="15.75" customHeight="1">
      <c r="B48" s="17"/>
      <c r="C48" s="28"/>
      <c r="D48" s="74">
        <v>2.0</v>
      </c>
      <c r="E48" s="68">
        <v>6.0</v>
      </c>
      <c r="F48" s="63"/>
      <c r="G48" s="64"/>
      <c r="H48" s="63"/>
      <c r="I48" s="64"/>
      <c r="J48" s="63"/>
      <c r="K48" s="64"/>
      <c r="L48" s="63"/>
      <c r="M48" s="64"/>
      <c r="N48" s="63"/>
      <c r="O48" s="64"/>
      <c r="P48" s="63"/>
      <c r="Q48" s="64"/>
      <c r="R48" s="63"/>
      <c r="S48" s="64"/>
      <c r="T48" s="63"/>
    </row>
    <row r="49" ht="15.75" customHeight="1">
      <c r="B49" s="17"/>
      <c r="C49" s="73">
        <v>75.0</v>
      </c>
      <c r="D49" s="74">
        <v>1.0</v>
      </c>
      <c r="E49" s="68">
        <v>2.0</v>
      </c>
      <c r="F49" s="63"/>
      <c r="G49" s="69">
        <f>AVERAGE(E49:F50)</f>
        <v>2</v>
      </c>
      <c r="H49" s="70"/>
      <c r="I49" s="69">
        <f>(G49/10)*100</f>
        <v>20</v>
      </c>
      <c r="J49" s="70"/>
      <c r="K49" s="69">
        <f>(G49/$G$37)*100</f>
        <v>20</v>
      </c>
      <c r="L49" s="70"/>
      <c r="M49" s="69">
        <f>J29</f>
        <v>16.04162576</v>
      </c>
      <c r="N49" s="70"/>
      <c r="O49" s="69">
        <f>(K49*M49)/100</f>
        <v>3.208325152</v>
      </c>
      <c r="P49" s="70"/>
      <c r="Q49" s="69">
        <f>(G49-$G$37)/$G$37</f>
        <v>-0.8</v>
      </c>
      <c r="R49" s="70"/>
      <c r="S49" s="69">
        <f t="array" ref="S49">INDEX($C$30:$Z$30, INT((ROW(A15)+1)/2))</f>
        <v>-0.8395837424</v>
      </c>
      <c r="T49" s="70"/>
    </row>
    <row r="50" ht="15.75" customHeight="1">
      <c r="A50" s="75"/>
      <c r="B50" s="17"/>
      <c r="C50" s="28"/>
      <c r="D50" s="74">
        <v>2.0</v>
      </c>
      <c r="E50" s="68">
        <v>2.0</v>
      </c>
      <c r="F50" s="63"/>
      <c r="G50" s="64"/>
      <c r="H50" s="63"/>
      <c r="I50" s="64"/>
      <c r="J50" s="63"/>
      <c r="K50" s="64"/>
      <c r="L50" s="63"/>
      <c r="M50" s="64"/>
      <c r="N50" s="63"/>
      <c r="O50" s="64"/>
      <c r="P50" s="63"/>
      <c r="Q50" s="64"/>
      <c r="R50" s="63"/>
      <c r="S50" s="64"/>
      <c r="T50" s="63"/>
    </row>
    <row r="51" ht="15.75" customHeight="1">
      <c r="A51" s="75"/>
      <c r="B51" s="17"/>
      <c r="C51" s="73">
        <v>100.0</v>
      </c>
      <c r="D51" s="74">
        <v>1.0</v>
      </c>
      <c r="E51" s="76">
        <v>1.0</v>
      </c>
      <c r="F51" s="10"/>
      <c r="G51" s="69">
        <f>AVERAGE(E51:F52)</f>
        <v>0.5</v>
      </c>
      <c r="H51" s="70"/>
      <c r="I51" s="69">
        <f>(G51/10)*100</f>
        <v>5</v>
      </c>
      <c r="J51" s="70"/>
      <c r="K51" s="69">
        <f>(G51/$G$37)*100</f>
        <v>5</v>
      </c>
      <c r="L51" s="70"/>
      <c r="M51" s="69">
        <f>K29</f>
        <v>0</v>
      </c>
      <c r="N51" s="70"/>
      <c r="O51" s="69">
        <f>(K51*M51)/100</f>
        <v>0</v>
      </c>
      <c r="P51" s="70"/>
      <c r="Q51" s="69">
        <f>(G51-$G$37)/$G$37</f>
        <v>-0.95</v>
      </c>
      <c r="R51" s="70"/>
      <c r="S51" s="69">
        <f t="array" ref="S51">INDEX($C$30:$Z$30, INT((ROW(A17)+1)/2))</f>
        <v>-1</v>
      </c>
      <c r="T51" s="70"/>
    </row>
    <row r="52" ht="15.75" customHeight="1">
      <c r="A52" s="75"/>
      <c r="B52" s="28"/>
      <c r="C52" s="28"/>
      <c r="D52" s="74">
        <v>2.0</v>
      </c>
      <c r="E52" s="77">
        <v>0.0</v>
      </c>
      <c r="F52" s="10"/>
      <c r="G52" s="64"/>
      <c r="H52" s="63"/>
      <c r="I52" s="64"/>
      <c r="J52" s="63"/>
      <c r="K52" s="64"/>
      <c r="L52" s="63"/>
      <c r="M52" s="64"/>
      <c r="N52" s="63"/>
      <c r="O52" s="64"/>
      <c r="P52" s="63"/>
      <c r="Q52" s="64"/>
      <c r="R52" s="63"/>
      <c r="S52" s="64"/>
      <c r="T52" s="63"/>
    </row>
    <row r="53" ht="15.75" customHeight="1">
      <c r="A53" s="75"/>
      <c r="B53" s="78" t="s">
        <v>5</v>
      </c>
      <c r="C53" s="79">
        <v>0.0</v>
      </c>
      <c r="D53" s="80">
        <v>1.0</v>
      </c>
      <c r="E53" s="77">
        <v>9.0</v>
      </c>
      <c r="F53" s="10"/>
      <c r="G53" s="69">
        <f>AVERAGE(E53:F54)</f>
        <v>9</v>
      </c>
      <c r="H53" s="70"/>
      <c r="I53" s="69">
        <f>(G53/10)*100</f>
        <v>90</v>
      </c>
      <c r="J53" s="70"/>
      <c r="K53" s="69">
        <f>(G53/$G$37)*100</f>
        <v>90</v>
      </c>
      <c r="L53" s="70"/>
      <c r="M53" s="69">
        <f>L29</f>
        <v>73.15705653</v>
      </c>
      <c r="N53" s="70"/>
      <c r="O53" s="69">
        <f>(K53*M53)/100</f>
        <v>65.84135087</v>
      </c>
      <c r="P53" s="70"/>
      <c r="Q53" s="69">
        <f>(G53-$G$37)/$G$37</f>
        <v>-0.1</v>
      </c>
      <c r="R53" s="70"/>
      <c r="S53" s="69">
        <f t="array" ref="S53">INDEX($C$30:$Z$30, INT((ROW(A19)+1)/2))</f>
        <v>-0.2684294347</v>
      </c>
      <c r="T53" s="70"/>
    </row>
    <row r="54" ht="15.75" customHeight="1">
      <c r="A54" s="75"/>
      <c r="B54" s="17"/>
      <c r="C54" s="28"/>
      <c r="D54" s="80">
        <v>2.0</v>
      </c>
      <c r="E54" s="77">
        <v>9.0</v>
      </c>
      <c r="F54" s="10"/>
      <c r="G54" s="64"/>
      <c r="H54" s="63"/>
      <c r="I54" s="64"/>
      <c r="J54" s="63"/>
      <c r="K54" s="64"/>
      <c r="L54" s="63"/>
      <c r="M54" s="64"/>
      <c r="N54" s="63"/>
      <c r="O54" s="64"/>
      <c r="P54" s="63"/>
      <c r="Q54" s="64"/>
      <c r="R54" s="63"/>
      <c r="S54" s="64"/>
      <c r="T54" s="63"/>
    </row>
    <row r="55" ht="15.75" customHeight="1">
      <c r="A55" s="75"/>
      <c r="B55" s="17"/>
      <c r="C55" s="79">
        <v>25.0</v>
      </c>
      <c r="D55" s="80">
        <v>1.0</v>
      </c>
      <c r="E55" s="77">
        <v>8.0</v>
      </c>
      <c r="F55" s="10"/>
      <c r="G55" s="69">
        <f>AVERAGE(E55:F56)</f>
        <v>7.5</v>
      </c>
      <c r="H55" s="70"/>
      <c r="I55" s="69">
        <f>(G55/10)*100</f>
        <v>75</v>
      </c>
      <c r="J55" s="70"/>
      <c r="K55" s="69">
        <f>(G55/$G$37)*100</f>
        <v>75</v>
      </c>
      <c r="L55" s="70"/>
      <c r="M55" s="69">
        <f>M29</f>
        <v>49.09221808</v>
      </c>
      <c r="N55" s="70"/>
      <c r="O55" s="69">
        <f>(K55*M55)/100</f>
        <v>36.81916356</v>
      </c>
      <c r="P55" s="70"/>
      <c r="Q55" s="69">
        <f>(G55-$G$37)/$G$37</f>
        <v>-0.25</v>
      </c>
      <c r="R55" s="70"/>
      <c r="S55" s="69">
        <f t="array" ref="S55">INDEX($C$30:$Z$30, INT((ROW(A21)+1)/2))</f>
        <v>-0.5090778192</v>
      </c>
      <c r="T55" s="70"/>
    </row>
    <row r="56" ht="15.75" customHeight="1">
      <c r="A56" s="75"/>
      <c r="B56" s="17"/>
      <c r="C56" s="28"/>
      <c r="D56" s="80">
        <v>2.0</v>
      </c>
      <c r="E56" s="77">
        <v>7.0</v>
      </c>
      <c r="F56" s="10"/>
      <c r="G56" s="64"/>
      <c r="H56" s="63"/>
      <c r="I56" s="64"/>
      <c r="J56" s="63"/>
      <c r="K56" s="64"/>
      <c r="L56" s="63"/>
      <c r="M56" s="64"/>
      <c r="N56" s="63"/>
      <c r="O56" s="64"/>
      <c r="P56" s="63"/>
      <c r="Q56" s="64"/>
      <c r="R56" s="63"/>
      <c r="S56" s="64"/>
      <c r="T56" s="63"/>
    </row>
    <row r="57" ht="15.75" customHeight="1">
      <c r="A57" s="75"/>
      <c r="B57" s="17"/>
      <c r="C57" s="79">
        <v>50.0</v>
      </c>
      <c r="D57" s="80">
        <v>1.0</v>
      </c>
      <c r="E57" s="77">
        <v>5.0</v>
      </c>
      <c r="F57" s="10"/>
      <c r="G57" s="69">
        <f>AVERAGE(E57:F58)</f>
        <v>6</v>
      </c>
      <c r="H57" s="70"/>
      <c r="I57" s="69">
        <f>(G57/10)*100</f>
        <v>60</v>
      </c>
      <c r="J57" s="70"/>
      <c r="K57" s="69">
        <f>(G57/$G$37)*100</f>
        <v>60</v>
      </c>
      <c r="L57" s="70"/>
      <c r="M57" s="69">
        <f>N29</f>
        <v>39.06669285</v>
      </c>
      <c r="N57" s="70"/>
      <c r="O57" s="69">
        <f>(K57*M57)/100</f>
        <v>23.44001571</v>
      </c>
      <c r="P57" s="70"/>
      <c r="Q57" s="69">
        <f>(G57-$G$37)/$G$37</f>
        <v>-0.4</v>
      </c>
      <c r="R57" s="70"/>
      <c r="S57" s="69">
        <f t="array" ref="S57">INDEX($C$30:$Z$30, INT((ROW(A23)+1)/2))</f>
        <v>-0.6093330715</v>
      </c>
      <c r="T57" s="70"/>
    </row>
    <row r="58" ht="15.75" customHeight="1">
      <c r="A58" s="75"/>
      <c r="B58" s="17"/>
      <c r="C58" s="28"/>
      <c r="D58" s="80">
        <v>2.0</v>
      </c>
      <c r="E58" s="77">
        <v>7.0</v>
      </c>
      <c r="F58" s="10"/>
      <c r="G58" s="64"/>
      <c r="H58" s="63"/>
      <c r="I58" s="64"/>
      <c r="J58" s="63"/>
      <c r="K58" s="64"/>
      <c r="L58" s="63"/>
      <c r="M58" s="64"/>
      <c r="N58" s="63"/>
      <c r="O58" s="64"/>
      <c r="P58" s="63"/>
      <c r="Q58" s="64"/>
      <c r="R58" s="63"/>
      <c r="S58" s="64"/>
      <c r="T58" s="63"/>
    </row>
    <row r="59" ht="15.75" customHeight="1">
      <c r="A59" s="81"/>
      <c r="B59" s="17"/>
      <c r="C59" s="79">
        <v>75.0</v>
      </c>
      <c r="D59" s="80">
        <v>1.0</v>
      </c>
      <c r="E59" s="77">
        <v>5.0</v>
      </c>
      <c r="F59" s="10"/>
      <c r="G59" s="69">
        <f>AVERAGE(E59:F60)</f>
        <v>5.5</v>
      </c>
      <c r="H59" s="70"/>
      <c r="I59" s="69">
        <f>(G59/10)*100</f>
        <v>55</v>
      </c>
      <c r="J59" s="70"/>
      <c r="K59" s="69">
        <f>(G59/$G$37)*100</f>
        <v>55</v>
      </c>
      <c r="L59" s="70"/>
      <c r="M59" s="69">
        <f>O29</f>
        <v>22.30155472</v>
      </c>
      <c r="N59" s="70"/>
      <c r="O59" s="69">
        <f>(K59*M59)/100</f>
        <v>12.2658551</v>
      </c>
      <c r="P59" s="70"/>
      <c r="Q59" s="69">
        <f>(G59-$G$37)/$G$37</f>
        <v>-0.45</v>
      </c>
      <c r="R59" s="70"/>
      <c r="S59" s="69">
        <f t="array" ref="S59">INDEX($C$30:$Z$30, INT((ROW(A25)+1)/2))</f>
        <v>-0.7769844528</v>
      </c>
      <c r="T59" s="70"/>
    </row>
    <row r="60" ht="15.75" customHeight="1">
      <c r="A60" s="81"/>
      <c r="B60" s="17"/>
      <c r="C60" s="28"/>
      <c r="D60" s="80">
        <v>2.0</v>
      </c>
      <c r="E60" s="77">
        <v>6.0</v>
      </c>
      <c r="F60" s="10"/>
      <c r="G60" s="64"/>
      <c r="H60" s="63"/>
      <c r="I60" s="64"/>
      <c r="J60" s="63"/>
      <c r="K60" s="64"/>
      <c r="L60" s="63"/>
      <c r="M60" s="64"/>
      <c r="N60" s="63"/>
      <c r="O60" s="64"/>
      <c r="P60" s="63"/>
      <c r="Q60" s="64"/>
      <c r="R60" s="63"/>
      <c r="S60" s="64"/>
      <c r="T60" s="63"/>
    </row>
    <row r="61" ht="15.75" customHeight="1">
      <c r="B61" s="17"/>
      <c r="C61" s="79">
        <v>100.0</v>
      </c>
      <c r="D61" s="80">
        <v>1.0</v>
      </c>
      <c r="E61" s="77">
        <v>0.0</v>
      </c>
      <c r="F61" s="10"/>
      <c r="G61" s="69">
        <f>AVERAGE(E61:F62)</f>
        <v>0</v>
      </c>
      <c r="H61" s="70"/>
      <c r="I61" s="69">
        <f>(G61/10)*100</f>
        <v>0</v>
      </c>
      <c r="J61" s="70"/>
      <c r="K61" s="69">
        <f>(G61/$G$37)*100</f>
        <v>0</v>
      </c>
      <c r="L61" s="70"/>
      <c r="M61" s="69">
        <f>P29</f>
        <v>0.3926958571</v>
      </c>
      <c r="N61" s="70"/>
      <c r="O61" s="69">
        <f>(K61*M61)/100</f>
        <v>0</v>
      </c>
      <c r="P61" s="70"/>
      <c r="Q61" s="69">
        <f>(G61-$G$37)/$G$37</f>
        <v>-1</v>
      </c>
      <c r="R61" s="70"/>
      <c r="S61" s="69">
        <f t="array" ref="S61">INDEX($C$30:$Z$30, INT((ROW(A27)+1)/2))</f>
        <v>-0.9960730414</v>
      </c>
      <c r="T61" s="70"/>
    </row>
    <row r="62" ht="15.75" customHeight="1">
      <c r="B62" s="28"/>
      <c r="C62" s="28"/>
      <c r="D62" s="80">
        <v>2.0</v>
      </c>
      <c r="E62" s="77">
        <v>0.0</v>
      </c>
      <c r="F62" s="10"/>
      <c r="G62" s="64"/>
      <c r="H62" s="63"/>
      <c r="I62" s="64"/>
      <c r="J62" s="63"/>
      <c r="K62" s="64"/>
      <c r="L62" s="63"/>
      <c r="M62" s="64"/>
      <c r="N62" s="63"/>
      <c r="O62" s="64"/>
      <c r="P62" s="63"/>
      <c r="Q62" s="64"/>
      <c r="R62" s="63"/>
      <c r="S62" s="64"/>
      <c r="T62" s="63"/>
    </row>
    <row r="63" ht="15.75" customHeight="1">
      <c r="B63" s="82" t="s">
        <v>6</v>
      </c>
      <c r="C63" s="83">
        <v>0.0</v>
      </c>
      <c r="D63" s="84">
        <v>1.0</v>
      </c>
      <c r="E63" s="77">
        <v>8.0</v>
      </c>
      <c r="F63" s="10"/>
      <c r="G63" s="69">
        <f>AVERAGE(E63:F64)</f>
        <v>7</v>
      </c>
      <c r="H63" s="70"/>
      <c r="I63" s="69">
        <f>(G63/10)*100</f>
        <v>70</v>
      </c>
      <c r="J63" s="70"/>
      <c r="K63" s="69">
        <f>(G63/$G$37)*100</f>
        <v>70</v>
      </c>
      <c r="L63" s="70"/>
      <c r="M63" s="69">
        <f>Q29</f>
        <v>63.87198115</v>
      </c>
      <c r="N63" s="70"/>
      <c r="O63" s="69">
        <f>(K63*M63)/100</f>
        <v>44.71038681</v>
      </c>
      <c r="P63" s="70"/>
      <c r="Q63" s="69">
        <f>(G63-$G$37)/$G$37</f>
        <v>-0.3</v>
      </c>
      <c r="R63" s="70"/>
      <c r="S63" s="69">
        <f t="array" ref="S63">INDEX($C$30:$Z$30, INT((ROW(A29)+1)/2))</f>
        <v>-0.3612801885</v>
      </c>
      <c r="T63" s="70"/>
    </row>
    <row r="64" ht="15.75" customHeight="1">
      <c r="B64" s="17"/>
      <c r="C64" s="28"/>
      <c r="D64" s="84">
        <v>2.0</v>
      </c>
      <c r="E64" s="77">
        <v>6.0</v>
      </c>
      <c r="F64" s="10"/>
      <c r="G64" s="64"/>
      <c r="H64" s="63"/>
      <c r="I64" s="64"/>
      <c r="J64" s="63"/>
      <c r="K64" s="64"/>
      <c r="L64" s="63"/>
      <c r="M64" s="64"/>
      <c r="N64" s="63"/>
      <c r="O64" s="64"/>
      <c r="P64" s="63"/>
      <c r="Q64" s="64"/>
      <c r="R64" s="63"/>
      <c r="S64" s="64"/>
      <c r="T64" s="63"/>
    </row>
    <row r="65" ht="15.75" customHeight="1">
      <c r="B65" s="17"/>
      <c r="C65" s="83">
        <v>25.0</v>
      </c>
      <c r="D65" s="84">
        <v>1.0</v>
      </c>
      <c r="E65" s="77">
        <v>10.0</v>
      </c>
      <c r="F65" s="10"/>
      <c r="G65" s="69">
        <f>AVERAGE(E65:F66)</f>
        <v>8.5</v>
      </c>
      <c r="H65" s="70"/>
      <c r="I65" s="69">
        <f>(G65/10)*100</f>
        <v>85</v>
      </c>
      <c r="J65" s="70"/>
      <c r="K65" s="69">
        <f>(G65/$G$37)*100</f>
        <v>85</v>
      </c>
      <c r="L65" s="70"/>
      <c r="M65" s="69">
        <f>R29</f>
        <v>40.16585625</v>
      </c>
      <c r="N65" s="70"/>
      <c r="O65" s="69">
        <f>(K65*M65)/100</f>
        <v>34.14097781</v>
      </c>
      <c r="P65" s="70"/>
      <c r="Q65" s="69">
        <f>(G65-$G$37)/$G$37</f>
        <v>-0.15</v>
      </c>
      <c r="R65" s="70"/>
      <c r="S65" s="69">
        <f t="array" ref="S65">INDEX($C$30:$Z$30, INT((ROW(A31)+1)/2))</f>
        <v>-0.5983414375</v>
      </c>
      <c r="T65" s="70"/>
    </row>
    <row r="66" ht="15.75" customHeight="1">
      <c r="B66" s="17"/>
      <c r="C66" s="28"/>
      <c r="D66" s="84">
        <v>2.0</v>
      </c>
      <c r="E66" s="77">
        <v>7.0</v>
      </c>
      <c r="F66" s="10"/>
      <c r="G66" s="64"/>
      <c r="H66" s="63"/>
      <c r="I66" s="64"/>
      <c r="J66" s="63"/>
      <c r="K66" s="64"/>
      <c r="L66" s="63"/>
      <c r="M66" s="64"/>
      <c r="N66" s="63"/>
      <c r="O66" s="64"/>
      <c r="P66" s="63"/>
      <c r="Q66" s="64"/>
      <c r="R66" s="63"/>
      <c r="S66" s="64"/>
      <c r="T66" s="63"/>
    </row>
    <row r="67" ht="15.75" customHeight="1">
      <c r="B67" s="17"/>
      <c r="C67" s="83">
        <v>50.0</v>
      </c>
      <c r="D67" s="84">
        <v>1.0</v>
      </c>
      <c r="E67" s="77">
        <v>6.0</v>
      </c>
      <c r="F67" s="10"/>
      <c r="G67" s="69">
        <f>AVERAGE(E67:F68)</f>
        <v>6.5</v>
      </c>
      <c r="H67" s="70"/>
      <c r="I67" s="69">
        <f>(G67/10)*100</f>
        <v>65</v>
      </c>
      <c r="J67" s="70"/>
      <c r="K67" s="69">
        <f>(G67/$G$37)*100</f>
        <v>65</v>
      </c>
      <c r="L67" s="70"/>
      <c r="M67" s="69">
        <f>S29</f>
        <v>20.33258318</v>
      </c>
      <c r="N67" s="70"/>
      <c r="O67" s="69">
        <f>(K67*M67)/100</f>
        <v>13.21617907</v>
      </c>
      <c r="P67" s="70"/>
      <c r="Q67" s="69">
        <f>(G67-$G$37)/$G$37</f>
        <v>-0.35</v>
      </c>
      <c r="R67" s="70"/>
      <c r="S67" s="69">
        <f t="array" ref="S67">INDEX($C$30:$Z$30, INT((ROW(A33)+1)/2))</f>
        <v>-0.7966741682</v>
      </c>
      <c r="T67" s="70"/>
    </row>
    <row r="68" ht="15.75" customHeight="1">
      <c r="B68" s="17"/>
      <c r="C68" s="28"/>
      <c r="D68" s="84">
        <v>2.0</v>
      </c>
      <c r="E68" s="77">
        <v>7.0</v>
      </c>
      <c r="F68" s="10"/>
      <c r="G68" s="64"/>
      <c r="H68" s="63"/>
      <c r="I68" s="64"/>
      <c r="J68" s="63"/>
      <c r="K68" s="64"/>
      <c r="L68" s="63"/>
      <c r="M68" s="64"/>
      <c r="N68" s="63"/>
      <c r="O68" s="64"/>
      <c r="P68" s="63"/>
      <c r="Q68" s="64"/>
      <c r="R68" s="63"/>
      <c r="S68" s="64"/>
      <c r="T68" s="63"/>
    </row>
    <row r="69" ht="15.75" customHeight="1">
      <c r="B69" s="17"/>
      <c r="C69" s="83">
        <v>75.0</v>
      </c>
      <c r="D69" s="84">
        <v>1.0</v>
      </c>
      <c r="E69" s="77">
        <v>1.0</v>
      </c>
      <c r="F69" s="10"/>
      <c r="G69" s="69">
        <f>AVERAGE(E69:F70)</f>
        <v>0.5</v>
      </c>
      <c r="H69" s="70"/>
      <c r="I69" s="69">
        <f>(G69/10)*100</f>
        <v>5</v>
      </c>
      <c r="J69" s="70"/>
      <c r="K69" s="69">
        <f>(G69/$G$37)*100</f>
        <v>5</v>
      </c>
      <c r="L69" s="70"/>
      <c r="M69" s="69">
        <f>T29</f>
        <v>8.403691341</v>
      </c>
      <c r="N69" s="70"/>
      <c r="O69" s="69">
        <f>(K69*M69)/100</f>
        <v>0.4201845671</v>
      </c>
      <c r="P69" s="70"/>
      <c r="Q69" s="69">
        <f>(G69-$G$37)/$G$37</f>
        <v>-0.95</v>
      </c>
      <c r="R69" s="70"/>
      <c r="S69" s="69">
        <f t="array" ref="S69">INDEX($C$30:$Z$30, INT((ROW(A35)+1)/2))</f>
        <v>-0.9159630866</v>
      </c>
      <c r="T69" s="70"/>
    </row>
    <row r="70" ht="15.75" customHeight="1">
      <c r="B70" s="17"/>
      <c r="C70" s="28"/>
      <c r="D70" s="84">
        <v>2.0</v>
      </c>
      <c r="E70" s="77">
        <v>0.0</v>
      </c>
      <c r="F70" s="10"/>
      <c r="G70" s="64"/>
      <c r="H70" s="63"/>
      <c r="I70" s="64"/>
      <c r="J70" s="63"/>
      <c r="K70" s="64"/>
      <c r="L70" s="63"/>
      <c r="M70" s="64"/>
      <c r="N70" s="63"/>
      <c r="O70" s="64"/>
      <c r="P70" s="63"/>
      <c r="Q70" s="64"/>
      <c r="R70" s="63"/>
      <c r="S70" s="64"/>
      <c r="T70" s="63"/>
    </row>
    <row r="71" ht="15.75" customHeight="1">
      <c r="B71" s="17"/>
      <c r="C71" s="83">
        <v>100.0</v>
      </c>
      <c r="D71" s="84">
        <v>1.0</v>
      </c>
      <c r="E71" s="76">
        <v>1.0</v>
      </c>
      <c r="F71" s="10"/>
      <c r="G71" s="69">
        <f>AVERAGE(E71:F72)</f>
        <v>0.5</v>
      </c>
      <c r="H71" s="70"/>
      <c r="I71" s="69">
        <f>(G71/10)*100</f>
        <v>5</v>
      </c>
      <c r="J71" s="70"/>
      <c r="K71" s="69">
        <f>(G71/$G$37)*100</f>
        <v>5</v>
      </c>
      <c r="L71" s="70"/>
      <c r="M71" s="69">
        <f>U29</f>
        <v>0.3926958571</v>
      </c>
      <c r="N71" s="70"/>
      <c r="O71" s="69">
        <f>(K71*M71)/100</f>
        <v>0.01963479285</v>
      </c>
      <c r="P71" s="70"/>
      <c r="Q71" s="69">
        <f>(G71-$G$37)/$G$37</f>
        <v>-0.95</v>
      </c>
      <c r="R71" s="70"/>
      <c r="S71" s="69">
        <f t="array" ref="S71">INDEX($C$30:$Z$30, INT((ROW(A37)+1)/2))</f>
        <v>-0.9960730414</v>
      </c>
      <c r="T71" s="70"/>
    </row>
    <row r="72" ht="15.75" customHeight="1">
      <c r="B72" s="28"/>
      <c r="C72" s="28"/>
      <c r="D72" s="84">
        <v>2.0</v>
      </c>
      <c r="E72" s="77">
        <v>0.0</v>
      </c>
      <c r="F72" s="10"/>
      <c r="G72" s="64"/>
      <c r="H72" s="63"/>
      <c r="I72" s="64"/>
      <c r="J72" s="63"/>
      <c r="K72" s="64"/>
      <c r="L72" s="63"/>
      <c r="M72" s="64"/>
      <c r="N72" s="63"/>
      <c r="O72" s="64"/>
      <c r="P72" s="63"/>
      <c r="Q72" s="64"/>
      <c r="R72" s="63"/>
      <c r="S72" s="64"/>
      <c r="T72" s="63"/>
    </row>
    <row r="73" ht="15.75" customHeight="1">
      <c r="B73" s="85" t="s">
        <v>7</v>
      </c>
      <c r="C73" s="86">
        <v>0.0</v>
      </c>
      <c r="D73" s="87">
        <v>1.0</v>
      </c>
      <c r="E73" s="77">
        <v>8.0</v>
      </c>
      <c r="F73" s="10"/>
      <c r="G73" s="69">
        <f>AVERAGE(E73:F74)</f>
        <v>9</v>
      </c>
      <c r="H73" s="70"/>
      <c r="I73" s="69">
        <f>(G73/10)*100</f>
        <v>90</v>
      </c>
      <c r="J73" s="70"/>
      <c r="K73" s="69">
        <f>(G73/$G$37)*100</f>
        <v>90</v>
      </c>
      <c r="L73" s="70"/>
      <c r="M73" s="69">
        <f>V29</f>
        <v>79.75434692</v>
      </c>
      <c r="N73" s="70"/>
      <c r="O73" s="69">
        <f>(K73*M73)/100</f>
        <v>71.77891223</v>
      </c>
      <c r="P73" s="70"/>
      <c r="Q73" s="69">
        <f>(G73-$G$37)/$G$37</f>
        <v>-0.1</v>
      </c>
      <c r="R73" s="70"/>
      <c r="S73" s="69">
        <f t="array" ref="S73">INDEX($C$30:$Z$30, INT((ROW(A39)+1)/2))</f>
        <v>-0.2024565308</v>
      </c>
      <c r="T73" s="70"/>
    </row>
    <row r="74" ht="15.75" customHeight="1">
      <c r="B74" s="17"/>
      <c r="C74" s="28"/>
      <c r="D74" s="87">
        <v>2.0</v>
      </c>
      <c r="E74" s="77">
        <v>10.0</v>
      </c>
      <c r="F74" s="10"/>
      <c r="G74" s="64"/>
      <c r="H74" s="63"/>
      <c r="I74" s="64"/>
      <c r="J74" s="63"/>
      <c r="K74" s="64"/>
      <c r="L74" s="63"/>
      <c r="M74" s="64"/>
      <c r="N74" s="63"/>
      <c r="O74" s="64"/>
      <c r="P74" s="63"/>
      <c r="Q74" s="64"/>
      <c r="R74" s="63"/>
      <c r="S74" s="64"/>
      <c r="T74" s="63"/>
    </row>
    <row r="75" ht="15.75" customHeight="1">
      <c r="B75" s="17"/>
      <c r="C75" s="86">
        <v>25.0</v>
      </c>
      <c r="D75" s="87">
        <v>1.0</v>
      </c>
      <c r="E75" s="77">
        <v>8.0</v>
      </c>
      <c r="F75" s="10"/>
      <c r="G75" s="69">
        <f>AVERAGE(E75:F76)</f>
        <v>9</v>
      </c>
      <c r="H75" s="70"/>
      <c r="I75" s="69">
        <f>(G75/10)*100</f>
        <v>90</v>
      </c>
      <c r="J75" s="70"/>
      <c r="K75" s="69">
        <f>(G75/$G$37)*100</f>
        <v>90</v>
      </c>
      <c r="L75" s="70"/>
      <c r="M75" s="69">
        <f>W29</f>
        <v>55.02541615</v>
      </c>
      <c r="N75" s="70"/>
      <c r="O75" s="69">
        <f>(K75*M75)/100</f>
        <v>49.52287453</v>
      </c>
      <c r="P75" s="70"/>
      <c r="Q75" s="69">
        <f>(G75-$G$37)/$G$37</f>
        <v>-0.1</v>
      </c>
      <c r="R75" s="70"/>
      <c r="S75" s="69">
        <f t="array" ref="S75">INDEX($C$30:$Z$30, INT((ROW(A41)+1)/2))</f>
        <v>-0.4497458385</v>
      </c>
      <c r="T75" s="70"/>
    </row>
    <row r="76" ht="15.75" customHeight="1">
      <c r="B76" s="17"/>
      <c r="C76" s="28"/>
      <c r="D76" s="87">
        <v>2.0</v>
      </c>
      <c r="E76" s="77">
        <v>10.0</v>
      </c>
      <c r="F76" s="10"/>
      <c r="G76" s="64"/>
      <c r="H76" s="63"/>
      <c r="I76" s="64"/>
      <c r="J76" s="63"/>
      <c r="K76" s="64"/>
      <c r="L76" s="63"/>
      <c r="M76" s="64"/>
      <c r="N76" s="63"/>
      <c r="O76" s="64"/>
      <c r="P76" s="63"/>
      <c r="Q76" s="64"/>
      <c r="R76" s="63"/>
      <c r="S76" s="64"/>
      <c r="T76" s="63"/>
    </row>
    <row r="77" ht="15.75" customHeight="1">
      <c r="B77" s="17"/>
      <c r="C77" s="86">
        <v>50.0</v>
      </c>
      <c r="D77" s="87">
        <v>1.0</v>
      </c>
      <c r="E77" s="77">
        <v>7.0</v>
      </c>
      <c r="F77" s="10"/>
      <c r="G77" s="69">
        <f>AVERAGE(E77:F78)</f>
        <v>6.5</v>
      </c>
      <c r="H77" s="70"/>
      <c r="I77" s="69">
        <f>(G77/10)*100</f>
        <v>65</v>
      </c>
      <c r="J77" s="70"/>
      <c r="K77" s="69">
        <f>(G77/$G$37)*100</f>
        <v>65</v>
      </c>
      <c r="L77" s="70"/>
      <c r="M77" s="69">
        <f>X29</f>
        <v>22.64344727</v>
      </c>
      <c r="N77" s="70"/>
      <c r="O77" s="69">
        <f>(K77*M77)/100</f>
        <v>14.71824072</v>
      </c>
      <c r="P77" s="70"/>
      <c r="Q77" s="69">
        <f>(G77-$G$37)/$G$37</f>
        <v>-0.35</v>
      </c>
      <c r="R77" s="70"/>
      <c r="S77" s="69">
        <f t="array" ref="S77">INDEX($C$30:$Z$30, INT((ROW(A43)+1)/2))</f>
        <v>-0.7735655273</v>
      </c>
      <c r="T77" s="70"/>
    </row>
    <row r="78" ht="15.75" customHeight="1">
      <c r="B78" s="17"/>
      <c r="C78" s="28"/>
      <c r="D78" s="87">
        <v>2.0</v>
      </c>
      <c r="E78" s="77">
        <v>6.0</v>
      </c>
      <c r="F78" s="10"/>
      <c r="G78" s="64"/>
      <c r="H78" s="63"/>
      <c r="I78" s="64"/>
      <c r="J78" s="63"/>
      <c r="K78" s="64"/>
      <c r="L78" s="63"/>
      <c r="M78" s="64"/>
      <c r="N78" s="63"/>
      <c r="O78" s="64"/>
      <c r="P78" s="63"/>
      <c r="Q78" s="64"/>
      <c r="R78" s="63"/>
      <c r="S78" s="64"/>
      <c r="T78" s="63"/>
    </row>
    <row r="79" ht="15.75" customHeight="1">
      <c r="B79" s="17"/>
      <c r="C79" s="86">
        <v>75.0</v>
      </c>
      <c r="D79" s="87">
        <v>1.0</v>
      </c>
      <c r="E79" s="77">
        <v>2.0</v>
      </c>
      <c r="F79" s="10"/>
      <c r="G79" s="69">
        <f>AVERAGE(E79:F80)</f>
        <v>2</v>
      </c>
      <c r="H79" s="70"/>
      <c r="I79" s="69">
        <f>(G79/10)*100</f>
        <v>20</v>
      </c>
      <c r="J79" s="70"/>
      <c r="K79" s="69">
        <f>(G79/$G$37)*100</f>
        <v>20</v>
      </c>
      <c r="L79" s="70"/>
      <c r="M79" s="69">
        <f>Y29</f>
        <v>17.8480267</v>
      </c>
      <c r="N79" s="70"/>
      <c r="O79" s="69">
        <f>(K79*M79)/100</f>
        <v>3.569605341</v>
      </c>
      <c r="P79" s="70"/>
      <c r="Q79" s="69">
        <f>(G79-$G$37)/$G$37</f>
        <v>-0.8</v>
      </c>
      <c r="R79" s="70"/>
      <c r="S79" s="69">
        <f t="array" ref="S79">INDEX($C$30:$Z$30, INT((ROW(A45)+1)/2))</f>
        <v>-0.821519733</v>
      </c>
      <c r="T79" s="70"/>
    </row>
    <row r="80" ht="15.75" customHeight="1">
      <c r="B80" s="17"/>
      <c r="C80" s="28"/>
      <c r="D80" s="87">
        <v>2.0</v>
      </c>
      <c r="E80" s="77">
        <v>2.0</v>
      </c>
      <c r="F80" s="10"/>
      <c r="G80" s="64"/>
      <c r="H80" s="63"/>
      <c r="I80" s="64"/>
      <c r="J80" s="63"/>
      <c r="K80" s="64"/>
      <c r="L80" s="63"/>
      <c r="M80" s="64"/>
      <c r="N80" s="63"/>
      <c r="O80" s="64"/>
      <c r="P80" s="63"/>
      <c r="Q80" s="64"/>
      <c r="R80" s="63"/>
      <c r="S80" s="64"/>
      <c r="T80" s="63"/>
    </row>
    <row r="81" ht="15.75" customHeight="1">
      <c r="B81" s="17"/>
      <c r="C81" s="86">
        <v>100.0</v>
      </c>
      <c r="D81" s="87">
        <v>1.0</v>
      </c>
      <c r="E81" s="76">
        <v>1.0</v>
      </c>
      <c r="F81" s="10"/>
      <c r="G81" s="69">
        <f>AVERAGE(E81:F82)</f>
        <v>0.5</v>
      </c>
      <c r="H81" s="70"/>
      <c r="I81" s="69">
        <f>(G81/10)*100</f>
        <v>5</v>
      </c>
      <c r="J81" s="70"/>
      <c r="K81" s="69">
        <f>(G81/$G$37)*100</f>
        <v>5</v>
      </c>
      <c r="L81" s="70"/>
      <c r="M81" s="69">
        <f>Z29</f>
        <v>0.3926958571</v>
      </c>
      <c r="N81" s="70"/>
      <c r="O81" s="69">
        <f>(K81*M81)/100</f>
        <v>0.01963479285</v>
      </c>
      <c r="P81" s="70"/>
      <c r="Q81" s="69">
        <f>(G81-$G$37)/$G$37</f>
        <v>-0.95</v>
      </c>
      <c r="R81" s="70"/>
      <c r="S81" s="69">
        <f t="array" ref="S81">INDEX($C$30:$Z$30, INT((ROW(A47)+1)/2))</f>
        <v>-0.9960730414</v>
      </c>
      <c r="T81" s="70"/>
    </row>
    <row r="82" ht="15.75" customHeight="1">
      <c r="B82" s="28"/>
      <c r="C82" s="28"/>
      <c r="D82" s="87">
        <v>2.0</v>
      </c>
      <c r="E82" s="76">
        <v>0.0</v>
      </c>
      <c r="F82" s="10"/>
      <c r="G82" s="64"/>
      <c r="H82" s="63"/>
      <c r="I82" s="64"/>
      <c r="J82" s="63"/>
      <c r="K82" s="64"/>
      <c r="L82" s="63"/>
      <c r="M82" s="64"/>
      <c r="N82" s="63"/>
      <c r="O82" s="64"/>
      <c r="P82" s="63"/>
      <c r="Q82" s="64"/>
      <c r="R82" s="63"/>
      <c r="S82" s="64"/>
      <c r="T82" s="6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1.25" customHeight="1"/>
    <row r="98" ht="24.75" customHeight="1"/>
    <row r="99" ht="22.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91">
    <mergeCell ref="E48:F48"/>
    <mergeCell ref="E49:F49"/>
    <mergeCell ref="G49:H50"/>
    <mergeCell ref="I49:J50"/>
    <mergeCell ref="M49:N50"/>
    <mergeCell ref="O49:P50"/>
    <mergeCell ref="K49:L50"/>
    <mergeCell ref="E50:F50"/>
    <mergeCell ref="E51:F51"/>
    <mergeCell ref="G51:H52"/>
    <mergeCell ref="I51:J52"/>
    <mergeCell ref="M51:N52"/>
    <mergeCell ref="O51:P52"/>
    <mergeCell ref="K51:L52"/>
    <mergeCell ref="Q47:R48"/>
    <mergeCell ref="Q49:R50"/>
    <mergeCell ref="E42:F42"/>
    <mergeCell ref="E43:F43"/>
    <mergeCell ref="G43:H44"/>
    <mergeCell ref="I43:J44"/>
    <mergeCell ref="M43:N44"/>
    <mergeCell ref="O43:P44"/>
    <mergeCell ref="Q43:R44"/>
    <mergeCell ref="K43:L44"/>
    <mergeCell ref="E44:F44"/>
    <mergeCell ref="E45:F45"/>
    <mergeCell ref="G45:H46"/>
    <mergeCell ref="I45:J46"/>
    <mergeCell ref="M45:N46"/>
    <mergeCell ref="O45:P46"/>
    <mergeCell ref="Q45:R46"/>
    <mergeCell ref="K45:L46"/>
    <mergeCell ref="E46:F46"/>
    <mergeCell ref="E47:F47"/>
    <mergeCell ref="G47:H48"/>
    <mergeCell ref="I47:J48"/>
    <mergeCell ref="M47:N48"/>
    <mergeCell ref="O47:P48"/>
    <mergeCell ref="K47:L48"/>
    <mergeCell ref="S51:T52"/>
    <mergeCell ref="Q51:R52"/>
    <mergeCell ref="Q53:R54"/>
    <mergeCell ref="K53:L54"/>
    <mergeCell ref="E56:F56"/>
    <mergeCell ref="E57:F57"/>
    <mergeCell ref="Q55:R56"/>
    <mergeCell ref="K55:L56"/>
    <mergeCell ref="S47:T48"/>
    <mergeCell ref="S49:T50"/>
    <mergeCell ref="E54:F54"/>
    <mergeCell ref="E55:F55"/>
    <mergeCell ref="G55:H56"/>
    <mergeCell ref="I55:J56"/>
    <mergeCell ref="M55:N56"/>
    <mergeCell ref="O55:P56"/>
    <mergeCell ref="G57:H58"/>
    <mergeCell ref="I57:J58"/>
    <mergeCell ref="M57:N58"/>
    <mergeCell ref="O57:P58"/>
    <mergeCell ref="S57:T58"/>
    <mergeCell ref="Q57:R58"/>
    <mergeCell ref="K57:L58"/>
    <mergeCell ref="E58:F58"/>
    <mergeCell ref="E59:F59"/>
    <mergeCell ref="G59:H60"/>
    <mergeCell ref="I59:J60"/>
    <mergeCell ref="M59:N60"/>
    <mergeCell ref="O59:P60"/>
    <mergeCell ref="K59:L60"/>
    <mergeCell ref="S61:T62"/>
    <mergeCell ref="Q61:R62"/>
    <mergeCell ref="K61:L62"/>
    <mergeCell ref="S63:T64"/>
    <mergeCell ref="Q63:R64"/>
    <mergeCell ref="K63:L64"/>
    <mergeCell ref="S55:T56"/>
    <mergeCell ref="S59:T60"/>
    <mergeCell ref="Q59:R60"/>
    <mergeCell ref="E60:F60"/>
    <mergeCell ref="E61:F61"/>
    <mergeCell ref="G61:H62"/>
    <mergeCell ref="I61:J62"/>
    <mergeCell ref="M61:N62"/>
    <mergeCell ref="O61:P62"/>
    <mergeCell ref="E62:F62"/>
    <mergeCell ref="E63:F63"/>
    <mergeCell ref="G63:H64"/>
    <mergeCell ref="I63:J64"/>
    <mergeCell ref="M63:N64"/>
    <mergeCell ref="O63:P64"/>
    <mergeCell ref="E64:F64"/>
    <mergeCell ref="E65:F65"/>
    <mergeCell ref="G65:H66"/>
    <mergeCell ref="I65:J66"/>
    <mergeCell ref="M65:N66"/>
    <mergeCell ref="O65:P66"/>
    <mergeCell ref="K65:L66"/>
    <mergeCell ref="S67:T68"/>
    <mergeCell ref="Q67:R68"/>
    <mergeCell ref="K67:L68"/>
    <mergeCell ref="S69:T70"/>
    <mergeCell ref="Q69:R70"/>
    <mergeCell ref="K69:L70"/>
    <mergeCell ref="E70:F70"/>
    <mergeCell ref="E71:F71"/>
    <mergeCell ref="S65:T66"/>
    <mergeCell ref="Q65:R66"/>
    <mergeCell ref="B2:Z2"/>
    <mergeCell ref="B3:Z3"/>
    <mergeCell ref="C4:F4"/>
    <mergeCell ref="G4:K4"/>
    <mergeCell ref="L4:P4"/>
    <mergeCell ref="Q4:U4"/>
    <mergeCell ref="V4:Z4"/>
    <mergeCell ref="I5:I6"/>
    <mergeCell ref="J5:J6"/>
    <mergeCell ref="K5:K6"/>
    <mergeCell ref="L5:L6"/>
    <mergeCell ref="M5:M6"/>
    <mergeCell ref="N5:N6"/>
    <mergeCell ref="O5:O6"/>
    <mergeCell ref="W5:W6"/>
    <mergeCell ref="X5:X6"/>
    <mergeCell ref="Y5:Y6"/>
    <mergeCell ref="Z5:Z6"/>
    <mergeCell ref="P5:P6"/>
    <mergeCell ref="Q5:Q6"/>
    <mergeCell ref="R5:R6"/>
    <mergeCell ref="S5:S6"/>
    <mergeCell ref="T5:T6"/>
    <mergeCell ref="U5:U6"/>
    <mergeCell ref="V5:V6"/>
    <mergeCell ref="B4:B6"/>
    <mergeCell ref="C5:C6"/>
    <mergeCell ref="D5:D6"/>
    <mergeCell ref="E5:E6"/>
    <mergeCell ref="F5:F6"/>
    <mergeCell ref="G5:G6"/>
    <mergeCell ref="H5:H6"/>
    <mergeCell ref="G33:H34"/>
    <mergeCell ref="I33:J34"/>
    <mergeCell ref="K33:L34"/>
    <mergeCell ref="M33:N34"/>
    <mergeCell ref="E35:F35"/>
    <mergeCell ref="E36:F36"/>
    <mergeCell ref="E37:F37"/>
    <mergeCell ref="G37:H38"/>
    <mergeCell ref="I37:J38"/>
    <mergeCell ref="M37:N38"/>
    <mergeCell ref="K37:L38"/>
    <mergeCell ref="E38:F38"/>
    <mergeCell ref="E39:F39"/>
    <mergeCell ref="G39:H40"/>
    <mergeCell ref="I39:J40"/>
    <mergeCell ref="M39:N40"/>
    <mergeCell ref="O39:P40"/>
    <mergeCell ref="K39:L40"/>
    <mergeCell ref="E40:F40"/>
    <mergeCell ref="E41:F41"/>
    <mergeCell ref="G41:H42"/>
    <mergeCell ref="I41:J42"/>
    <mergeCell ref="M41:N42"/>
    <mergeCell ref="O41:P42"/>
    <mergeCell ref="K41:L42"/>
    <mergeCell ref="S41:T42"/>
    <mergeCell ref="Q41:R42"/>
    <mergeCell ref="C43:C44"/>
    <mergeCell ref="C45:C46"/>
    <mergeCell ref="C47:C48"/>
    <mergeCell ref="C49:C50"/>
    <mergeCell ref="B43:B52"/>
    <mergeCell ref="B53:B62"/>
    <mergeCell ref="B63:B72"/>
    <mergeCell ref="B73:B82"/>
    <mergeCell ref="B33:B34"/>
    <mergeCell ref="B35:B42"/>
    <mergeCell ref="C35:C36"/>
    <mergeCell ref="C37:C38"/>
    <mergeCell ref="C39:C40"/>
    <mergeCell ref="C41:C42"/>
    <mergeCell ref="C51:C52"/>
    <mergeCell ref="C67:C68"/>
    <mergeCell ref="C69:C70"/>
    <mergeCell ref="C71:C72"/>
    <mergeCell ref="C73:C74"/>
    <mergeCell ref="C75:C76"/>
    <mergeCell ref="C77:C78"/>
    <mergeCell ref="C79:C80"/>
    <mergeCell ref="C81:C82"/>
    <mergeCell ref="C53:C54"/>
    <mergeCell ref="C55:C56"/>
    <mergeCell ref="C57:C58"/>
    <mergeCell ref="C59:C60"/>
    <mergeCell ref="C61:C62"/>
    <mergeCell ref="C63:C64"/>
    <mergeCell ref="C65:C66"/>
    <mergeCell ref="O33:P34"/>
    <mergeCell ref="Q33:R34"/>
    <mergeCell ref="B7:B16"/>
    <mergeCell ref="B17:B26"/>
    <mergeCell ref="B32:T32"/>
    <mergeCell ref="C33:C34"/>
    <mergeCell ref="D33:D34"/>
    <mergeCell ref="E33:F34"/>
    <mergeCell ref="S33:T34"/>
    <mergeCell ref="G35:H36"/>
    <mergeCell ref="I35:J36"/>
    <mergeCell ref="K35:L36"/>
    <mergeCell ref="M35:N36"/>
    <mergeCell ref="O35:P36"/>
    <mergeCell ref="Q35:R36"/>
    <mergeCell ref="S35:T36"/>
    <mergeCell ref="O37:P38"/>
    <mergeCell ref="S37:T38"/>
    <mergeCell ref="Q37:R38"/>
    <mergeCell ref="S39:T40"/>
    <mergeCell ref="S43:T44"/>
    <mergeCell ref="S45:T46"/>
    <mergeCell ref="Q39:R40"/>
    <mergeCell ref="E52:F52"/>
    <mergeCell ref="E53:F53"/>
    <mergeCell ref="G53:H54"/>
    <mergeCell ref="I53:J54"/>
    <mergeCell ref="M53:N54"/>
    <mergeCell ref="O53:P54"/>
    <mergeCell ref="S53:T54"/>
    <mergeCell ref="E74:F74"/>
    <mergeCell ref="E75:F75"/>
    <mergeCell ref="G75:H76"/>
    <mergeCell ref="I75:J76"/>
    <mergeCell ref="M75:N76"/>
    <mergeCell ref="O75:P76"/>
    <mergeCell ref="Q75:R76"/>
    <mergeCell ref="K75:L76"/>
    <mergeCell ref="E76:F76"/>
    <mergeCell ref="E77:F77"/>
    <mergeCell ref="G77:H78"/>
    <mergeCell ref="I77:J78"/>
    <mergeCell ref="M77:N78"/>
    <mergeCell ref="O77:P78"/>
    <mergeCell ref="Q77:R78"/>
    <mergeCell ref="K77:L78"/>
    <mergeCell ref="E78:F78"/>
    <mergeCell ref="E79:F79"/>
    <mergeCell ref="G79:H80"/>
    <mergeCell ref="I79:J80"/>
    <mergeCell ref="M79:N80"/>
    <mergeCell ref="O79:P80"/>
    <mergeCell ref="K79:L80"/>
    <mergeCell ref="E80:F80"/>
    <mergeCell ref="E81:F81"/>
    <mergeCell ref="G81:H82"/>
    <mergeCell ref="I81:J82"/>
    <mergeCell ref="M81:N82"/>
    <mergeCell ref="O81:P82"/>
    <mergeCell ref="E82:F82"/>
    <mergeCell ref="K81:L82"/>
    <mergeCell ref="S79:T80"/>
    <mergeCell ref="S81:T82"/>
    <mergeCell ref="Q79:R80"/>
    <mergeCell ref="Q81:R82"/>
    <mergeCell ref="E66:F66"/>
    <mergeCell ref="E67:F67"/>
    <mergeCell ref="G67:H68"/>
    <mergeCell ref="I67:J68"/>
    <mergeCell ref="M67:N68"/>
    <mergeCell ref="O67:P68"/>
    <mergeCell ref="E68:F68"/>
    <mergeCell ref="E69:F69"/>
    <mergeCell ref="G69:H70"/>
    <mergeCell ref="I69:J70"/>
    <mergeCell ref="M69:N70"/>
    <mergeCell ref="O69:P70"/>
    <mergeCell ref="G71:H72"/>
    <mergeCell ref="I71:J72"/>
    <mergeCell ref="M71:N72"/>
    <mergeCell ref="O71:P72"/>
    <mergeCell ref="S71:T72"/>
    <mergeCell ref="Q71:R72"/>
    <mergeCell ref="K71:L72"/>
    <mergeCell ref="E72:F72"/>
    <mergeCell ref="E73:F73"/>
    <mergeCell ref="G73:H74"/>
    <mergeCell ref="I73:J74"/>
    <mergeCell ref="M73:N74"/>
    <mergeCell ref="O73:P74"/>
    <mergeCell ref="K73:L74"/>
    <mergeCell ref="S73:T74"/>
    <mergeCell ref="S75:T76"/>
    <mergeCell ref="S77:T78"/>
    <mergeCell ref="Q73:R7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3" width="12.25"/>
    <col customWidth="1" min="4" max="4" width="23.88"/>
    <col customWidth="1" min="5" max="5" width="8.38"/>
    <col customWidth="1" min="6" max="6" width="7.63"/>
    <col customWidth="1" min="7" max="7" width="7.25"/>
    <col customWidth="1" min="8" max="9" width="7.0"/>
    <col customWidth="1" min="10" max="10" width="7.75"/>
    <col customWidth="1" min="11" max="11" width="8.38"/>
    <col customWidth="1" min="13" max="13" width="19.5"/>
  </cols>
  <sheetData>
    <row r="1" ht="5.25" customHeight="1">
      <c r="A1" s="1"/>
      <c r="B1" s="1"/>
      <c r="C1" s="1"/>
      <c r="D1" s="1"/>
      <c r="E1" s="1"/>
      <c r="F1" s="1"/>
      <c r="G1" s="1"/>
      <c r="H1" s="88"/>
      <c r="I1" s="1"/>
      <c r="J1" s="1"/>
    </row>
    <row r="2" ht="15.75" customHeight="1">
      <c r="A2" s="1"/>
      <c r="B2" s="56" t="s">
        <v>20</v>
      </c>
      <c r="C2" s="56" t="s">
        <v>21</v>
      </c>
      <c r="D2" s="56" t="s">
        <v>28</v>
      </c>
      <c r="E2" s="56" t="s">
        <v>24</v>
      </c>
      <c r="F2" s="56" t="s">
        <v>25</v>
      </c>
      <c r="G2" s="56" t="s">
        <v>26</v>
      </c>
      <c r="H2" s="56" t="s">
        <v>17</v>
      </c>
      <c r="I2" s="56" t="s">
        <v>27</v>
      </c>
      <c r="J2" s="56" t="s">
        <v>18</v>
      </c>
      <c r="L2" s="89" t="s">
        <v>29</v>
      </c>
      <c r="M2" s="90" t="s">
        <v>30</v>
      </c>
      <c r="O2" s="91"/>
      <c r="P2" s="91"/>
    </row>
    <row r="3" ht="15.75" customHeight="1">
      <c r="A3" s="1"/>
      <c r="B3" s="28"/>
      <c r="C3" s="28"/>
      <c r="D3" s="28"/>
      <c r="E3" s="28"/>
      <c r="F3" s="28"/>
      <c r="G3" s="28"/>
      <c r="H3" s="28"/>
      <c r="I3" s="28"/>
      <c r="J3" s="28"/>
      <c r="L3" s="92" t="s">
        <v>31</v>
      </c>
      <c r="M3" s="93" t="s">
        <v>32</v>
      </c>
    </row>
    <row r="4" ht="15.75" customHeight="1">
      <c r="A4" s="94"/>
      <c r="B4" s="95" t="s">
        <v>4</v>
      </c>
      <c r="C4" s="96">
        <v>0.0</v>
      </c>
      <c r="D4" s="97">
        <f>'Dia 0'!G43</f>
        <v>8.5</v>
      </c>
      <c r="E4" s="97">
        <f t="shared" ref="E4:E23" si="1">INDIRECT("'Dia 0'!I" &amp; 43 + (ROW(A1)-1)*2)</f>
        <v>85</v>
      </c>
      <c r="F4" s="97">
        <f t="shared" ref="F4:F23" si="2">INDIRECT("'Dia 0'!K" &amp; 43 + (ROW(A1)-1)*2)</f>
        <v>85</v>
      </c>
      <c r="G4" s="97">
        <f t="shared" ref="G4:G23" si="3">INDIRECT("'Dia 0'!O" &amp; 43 + (ROW(A1)-1)*2)</f>
        <v>52.5471235</v>
      </c>
      <c r="H4" s="97">
        <f t="shared" ref="H4:H23" si="4">INDIRECT("'Dia 0'!M" &amp; 43 + (ROW(A1)-1)*2)</f>
        <v>61.8201453</v>
      </c>
      <c r="I4" s="97">
        <f t="shared" ref="I4:I23" si="5">INDIRECT("'Dia 0'!Q" &amp; 43 + (ROW(A1)-1)*2)</f>
        <v>-0.15</v>
      </c>
      <c r="J4" s="97">
        <f t="shared" ref="J4:J23" si="6">INDIRECT("'Dia 0'!S" &amp; 43 + (ROW(A1)-1)*2)</f>
        <v>-0.381798547</v>
      </c>
      <c r="K4" s="98"/>
      <c r="L4" s="99" t="s">
        <v>33</v>
      </c>
      <c r="M4" s="100" t="s">
        <v>34</v>
      </c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</row>
    <row r="5" ht="15.75" customHeight="1">
      <c r="A5" s="94"/>
      <c r="B5" s="17"/>
      <c r="C5" s="96">
        <v>25.0</v>
      </c>
      <c r="D5" s="97">
        <f>'Dia 0'!G45</f>
        <v>8</v>
      </c>
      <c r="E5" s="97">
        <f t="shared" si="1"/>
        <v>80</v>
      </c>
      <c r="F5" s="97">
        <f t="shared" si="2"/>
        <v>80</v>
      </c>
      <c r="G5" s="97">
        <f t="shared" si="3"/>
        <v>43.09247987</v>
      </c>
      <c r="H5" s="97">
        <f t="shared" si="4"/>
        <v>53.86559984</v>
      </c>
      <c r="I5" s="97">
        <f t="shared" si="5"/>
        <v>-0.2</v>
      </c>
      <c r="J5" s="97">
        <f t="shared" si="6"/>
        <v>-0.4613440016</v>
      </c>
      <c r="K5" s="98"/>
      <c r="L5" s="101" t="s">
        <v>35</v>
      </c>
      <c r="M5" s="102" t="s">
        <v>36</v>
      </c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</row>
    <row r="6" ht="15.75" customHeight="1">
      <c r="A6" s="94"/>
      <c r="B6" s="17"/>
      <c r="C6" s="96">
        <v>50.0</v>
      </c>
      <c r="D6" s="97">
        <f>'Dia 0'!G47</f>
        <v>5</v>
      </c>
      <c r="E6" s="97">
        <f t="shared" si="1"/>
        <v>50</v>
      </c>
      <c r="F6" s="97">
        <f t="shared" si="2"/>
        <v>50</v>
      </c>
      <c r="G6" s="97">
        <f t="shared" si="3"/>
        <v>12.47987434</v>
      </c>
      <c r="H6" s="97">
        <f t="shared" si="4"/>
        <v>24.95974867</v>
      </c>
      <c r="I6" s="97">
        <f t="shared" si="5"/>
        <v>-0.5</v>
      </c>
      <c r="J6" s="97">
        <f t="shared" si="6"/>
        <v>-0.7504025133</v>
      </c>
      <c r="K6" s="98"/>
      <c r="L6" s="101" t="s">
        <v>37</v>
      </c>
      <c r="M6" s="103" t="s">
        <v>38</v>
      </c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</row>
    <row r="7" ht="15.75" customHeight="1">
      <c r="A7" s="94"/>
      <c r="B7" s="17"/>
      <c r="C7" s="96">
        <v>75.0</v>
      </c>
      <c r="D7" s="97">
        <f>'Dia 0'!G49</f>
        <v>2</v>
      </c>
      <c r="E7" s="97">
        <f t="shared" si="1"/>
        <v>20</v>
      </c>
      <c r="F7" s="97">
        <f t="shared" si="2"/>
        <v>20</v>
      </c>
      <c r="G7" s="97">
        <f t="shared" si="3"/>
        <v>3.208325152</v>
      </c>
      <c r="H7" s="97">
        <f t="shared" si="4"/>
        <v>16.04162576</v>
      </c>
      <c r="I7" s="97">
        <f t="shared" si="5"/>
        <v>-0.8</v>
      </c>
      <c r="J7" s="97">
        <f t="shared" si="6"/>
        <v>-0.8395837424</v>
      </c>
      <c r="K7" s="98"/>
      <c r="L7" s="104"/>
      <c r="M7" s="104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</row>
    <row r="8" ht="15.75" customHeight="1">
      <c r="A8" s="94">
        <v>100.0</v>
      </c>
      <c r="B8" s="28"/>
      <c r="C8" s="96">
        <v>100.0</v>
      </c>
      <c r="D8" s="97">
        <f>'Dia 0'!G51</f>
        <v>0.5</v>
      </c>
      <c r="E8" s="97">
        <f t="shared" si="1"/>
        <v>5</v>
      </c>
      <c r="F8" s="97">
        <f t="shared" si="2"/>
        <v>5</v>
      </c>
      <c r="G8" s="97">
        <f t="shared" si="3"/>
        <v>0</v>
      </c>
      <c r="H8" s="97">
        <f t="shared" si="4"/>
        <v>0</v>
      </c>
      <c r="I8" s="97">
        <f t="shared" si="5"/>
        <v>-0.95</v>
      </c>
      <c r="J8" s="97">
        <f t="shared" si="6"/>
        <v>-1</v>
      </c>
      <c r="K8" s="98"/>
      <c r="L8" s="105" t="s">
        <v>39</v>
      </c>
      <c r="M8" s="106" t="s">
        <v>40</v>
      </c>
      <c r="N8" s="7"/>
      <c r="O8" s="10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</row>
    <row r="9" ht="15.75" customHeight="1">
      <c r="A9" s="94"/>
      <c r="B9" s="107" t="s">
        <v>5</v>
      </c>
      <c r="C9" s="108">
        <v>0.0</v>
      </c>
      <c r="D9" s="97">
        <f>'Dia 0'!G53</f>
        <v>9</v>
      </c>
      <c r="E9" s="97">
        <f t="shared" si="1"/>
        <v>90</v>
      </c>
      <c r="F9" s="97">
        <f t="shared" si="2"/>
        <v>90</v>
      </c>
      <c r="G9" s="97">
        <f t="shared" si="3"/>
        <v>65.84135087</v>
      </c>
      <c r="H9" s="97">
        <f t="shared" si="4"/>
        <v>73.15705653</v>
      </c>
      <c r="I9" s="97">
        <f t="shared" si="5"/>
        <v>-0.1</v>
      </c>
      <c r="J9" s="97">
        <f t="shared" si="6"/>
        <v>-0.2684294347</v>
      </c>
      <c r="K9" s="98"/>
      <c r="L9" s="105" t="s">
        <v>41</v>
      </c>
      <c r="M9" s="106" t="s">
        <v>42</v>
      </c>
      <c r="N9" s="7"/>
      <c r="O9" s="10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</row>
    <row r="10" ht="15.75" customHeight="1">
      <c r="A10" s="94"/>
      <c r="B10" s="17"/>
      <c r="C10" s="108">
        <v>25.0</v>
      </c>
      <c r="D10" s="97">
        <f>'Dia 0'!G55</f>
        <v>7.5</v>
      </c>
      <c r="E10" s="97">
        <f t="shared" si="1"/>
        <v>75</v>
      </c>
      <c r="F10" s="97">
        <f t="shared" si="2"/>
        <v>75</v>
      </c>
      <c r="G10" s="97">
        <f t="shared" si="3"/>
        <v>36.81916356</v>
      </c>
      <c r="H10" s="97">
        <f t="shared" si="4"/>
        <v>49.09221808</v>
      </c>
      <c r="I10" s="97">
        <f t="shared" si="5"/>
        <v>-0.25</v>
      </c>
      <c r="J10" s="97">
        <f t="shared" si="6"/>
        <v>-0.5090778192</v>
      </c>
      <c r="K10" s="98"/>
      <c r="L10" s="105" t="s">
        <v>43</v>
      </c>
      <c r="M10" s="106" t="s">
        <v>44</v>
      </c>
      <c r="N10" s="7"/>
      <c r="O10" s="10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</row>
    <row r="11" ht="15.75" customHeight="1">
      <c r="B11" s="17"/>
      <c r="C11" s="108">
        <v>50.0</v>
      </c>
      <c r="D11" s="97">
        <f>'Dia 0'!G57</f>
        <v>6</v>
      </c>
      <c r="E11" s="97">
        <f t="shared" si="1"/>
        <v>60</v>
      </c>
      <c r="F11" s="97">
        <f t="shared" si="2"/>
        <v>60</v>
      </c>
      <c r="G11" s="97">
        <f t="shared" si="3"/>
        <v>23.44001571</v>
      </c>
      <c r="H11" s="97">
        <f t="shared" si="4"/>
        <v>39.06669285</v>
      </c>
      <c r="I11" s="97">
        <f t="shared" si="5"/>
        <v>-0.4</v>
      </c>
      <c r="J11" s="97">
        <f t="shared" si="6"/>
        <v>-0.6093330715</v>
      </c>
      <c r="L11" s="105" t="s">
        <v>45</v>
      </c>
      <c r="M11" s="106" t="s">
        <v>46</v>
      </c>
      <c r="N11" s="7"/>
      <c r="O11" s="10"/>
    </row>
    <row r="12" ht="15.75" customHeight="1">
      <c r="B12" s="17"/>
      <c r="C12" s="108">
        <v>75.0</v>
      </c>
      <c r="D12" s="97">
        <f>'Dia 0'!G59</f>
        <v>5.5</v>
      </c>
      <c r="E12" s="97">
        <f t="shared" si="1"/>
        <v>55</v>
      </c>
      <c r="F12" s="97">
        <f t="shared" si="2"/>
        <v>55</v>
      </c>
      <c r="G12" s="97">
        <f t="shared" si="3"/>
        <v>12.2658551</v>
      </c>
      <c r="H12" s="97">
        <f t="shared" si="4"/>
        <v>22.30155472</v>
      </c>
      <c r="I12" s="97">
        <f t="shared" si="5"/>
        <v>-0.45</v>
      </c>
      <c r="J12" s="97">
        <f t="shared" si="6"/>
        <v>-0.7769844528</v>
      </c>
      <c r="L12" s="105" t="s">
        <v>47</v>
      </c>
      <c r="M12" s="106" t="s">
        <v>48</v>
      </c>
      <c r="N12" s="7"/>
      <c r="O12" s="10"/>
    </row>
    <row r="13" ht="15.75" customHeight="1">
      <c r="B13" s="28"/>
      <c r="C13" s="108">
        <v>100.0</v>
      </c>
      <c r="D13" s="97">
        <f>'Dia 0'!G61</f>
        <v>0</v>
      </c>
      <c r="E13" s="97">
        <f t="shared" si="1"/>
        <v>0</v>
      </c>
      <c r="F13" s="97">
        <f t="shared" si="2"/>
        <v>0</v>
      </c>
      <c r="G13" s="97">
        <f t="shared" si="3"/>
        <v>0</v>
      </c>
      <c r="H13" s="97">
        <f t="shared" si="4"/>
        <v>0.3926958571</v>
      </c>
      <c r="I13" s="97">
        <f t="shared" si="5"/>
        <v>-1</v>
      </c>
      <c r="J13" s="97">
        <f t="shared" si="6"/>
        <v>-0.9960730414</v>
      </c>
      <c r="L13" s="105" t="s">
        <v>49</v>
      </c>
      <c r="M13" s="106" t="s">
        <v>50</v>
      </c>
      <c r="N13" s="7"/>
      <c r="O13" s="10"/>
    </row>
    <row r="14" ht="15.75" customHeight="1">
      <c r="B14" s="109" t="s">
        <v>51</v>
      </c>
      <c r="C14" s="110">
        <v>0.0</v>
      </c>
      <c r="D14" s="97">
        <f>'Dia 0'!G63</f>
        <v>7</v>
      </c>
      <c r="E14" s="97">
        <f t="shared" si="1"/>
        <v>70</v>
      </c>
      <c r="F14" s="97">
        <f t="shared" si="2"/>
        <v>70</v>
      </c>
      <c r="G14" s="97">
        <f t="shared" si="3"/>
        <v>44.71038681</v>
      </c>
      <c r="H14" s="97">
        <f t="shared" si="4"/>
        <v>63.87198115</v>
      </c>
      <c r="I14" s="97">
        <f t="shared" si="5"/>
        <v>-0.3</v>
      </c>
      <c r="J14" s="97">
        <f t="shared" si="6"/>
        <v>-0.3612801885</v>
      </c>
      <c r="K14" s="111"/>
      <c r="L14" s="98"/>
    </row>
    <row r="15" ht="15.75" customHeight="1">
      <c r="B15" s="17"/>
      <c r="C15" s="110">
        <v>25.0</v>
      </c>
      <c r="D15" s="97">
        <f>'Dia 0'!G65</f>
        <v>8.5</v>
      </c>
      <c r="E15" s="97">
        <f t="shared" si="1"/>
        <v>85</v>
      </c>
      <c r="F15" s="97">
        <f t="shared" si="2"/>
        <v>85</v>
      </c>
      <c r="G15" s="97">
        <f t="shared" si="3"/>
        <v>34.14097781</v>
      </c>
      <c r="H15" s="97">
        <f t="shared" si="4"/>
        <v>40.16585625</v>
      </c>
      <c r="I15" s="97">
        <f t="shared" si="5"/>
        <v>-0.15</v>
      </c>
      <c r="J15" s="97">
        <f t="shared" si="6"/>
        <v>-0.5983414375</v>
      </c>
      <c r="K15" s="111"/>
      <c r="L15" s="98"/>
    </row>
    <row r="16" ht="15.75" customHeight="1">
      <c r="B16" s="17"/>
      <c r="C16" s="110">
        <v>50.0</v>
      </c>
      <c r="D16" s="97">
        <f>'Dia 0'!G67</f>
        <v>6.5</v>
      </c>
      <c r="E16" s="97">
        <f t="shared" si="1"/>
        <v>65</v>
      </c>
      <c r="F16" s="97">
        <f t="shared" si="2"/>
        <v>65</v>
      </c>
      <c r="G16" s="97">
        <f t="shared" si="3"/>
        <v>13.21617907</v>
      </c>
      <c r="H16" s="97">
        <f t="shared" si="4"/>
        <v>20.33258318</v>
      </c>
      <c r="I16" s="97">
        <f t="shared" si="5"/>
        <v>-0.35</v>
      </c>
      <c r="J16" s="97">
        <f t="shared" si="6"/>
        <v>-0.7966741682</v>
      </c>
      <c r="K16" s="111"/>
      <c r="L16" s="98"/>
    </row>
    <row r="17" ht="15.75" customHeight="1">
      <c r="B17" s="17"/>
      <c r="C17" s="110">
        <v>75.0</v>
      </c>
      <c r="D17" s="97">
        <f>'Dia 0'!G69</f>
        <v>0.5</v>
      </c>
      <c r="E17" s="97">
        <f t="shared" si="1"/>
        <v>5</v>
      </c>
      <c r="F17" s="97">
        <f t="shared" si="2"/>
        <v>5</v>
      </c>
      <c r="G17" s="97">
        <f t="shared" si="3"/>
        <v>0.4201845671</v>
      </c>
      <c r="H17" s="97">
        <f t="shared" si="4"/>
        <v>8.403691341</v>
      </c>
      <c r="I17" s="97">
        <f t="shared" si="5"/>
        <v>-0.95</v>
      </c>
      <c r="J17" s="97">
        <f t="shared" si="6"/>
        <v>-0.9159630866</v>
      </c>
      <c r="K17" s="111"/>
      <c r="L17" s="98"/>
    </row>
    <row r="18" ht="15.75" customHeight="1">
      <c r="B18" s="28"/>
      <c r="C18" s="110">
        <v>100.0</v>
      </c>
      <c r="D18" s="97">
        <f>'Dia 0'!G71</f>
        <v>0.5</v>
      </c>
      <c r="E18" s="97">
        <f t="shared" si="1"/>
        <v>5</v>
      </c>
      <c r="F18" s="97">
        <f t="shared" si="2"/>
        <v>5</v>
      </c>
      <c r="G18" s="97">
        <f t="shared" si="3"/>
        <v>0.01963479285</v>
      </c>
      <c r="H18" s="97">
        <f t="shared" si="4"/>
        <v>0.3926958571</v>
      </c>
      <c r="I18" s="97">
        <f t="shared" si="5"/>
        <v>-0.95</v>
      </c>
      <c r="J18" s="97">
        <f t="shared" si="6"/>
        <v>-0.9960730414</v>
      </c>
      <c r="K18" s="111"/>
      <c r="L18" s="98"/>
    </row>
    <row r="19" ht="15.75" customHeight="1">
      <c r="B19" s="112" t="s">
        <v>7</v>
      </c>
      <c r="C19" s="113">
        <v>0.0</v>
      </c>
      <c r="D19" s="97">
        <f>'Dia 0'!G73</f>
        <v>9</v>
      </c>
      <c r="E19" s="97">
        <f t="shared" si="1"/>
        <v>90</v>
      </c>
      <c r="F19" s="97">
        <f t="shared" si="2"/>
        <v>90</v>
      </c>
      <c r="G19" s="97">
        <f t="shared" si="3"/>
        <v>71.77891223</v>
      </c>
      <c r="H19" s="97">
        <f t="shared" si="4"/>
        <v>79.75434692</v>
      </c>
      <c r="I19" s="97">
        <f t="shared" si="5"/>
        <v>-0.1</v>
      </c>
      <c r="J19" s="97">
        <f t="shared" si="6"/>
        <v>-0.2024565308</v>
      </c>
      <c r="K19" s="111"/>
      <c r="L19" s="98"/>
    </row>
    <row r="20" ht="15.75" customHeight="1">
      <c r="B20" s="17"/>
      <c r="C20" s="113">
        <v>25.0</v>
      </c>
      <c r="D20" s="97">
        <f>'Dia 0'!G75</f>
        <v>9</v>
      </c>
      <c r="E20" s="97">
        <f t="shared" si="1"/>
        <v>90</v>
      </c>
      <c r="F20" s="97">
        <f t="shared" si="2"/>
        <v>90</v>
      </c>
      <c r="G20" s="97">
        <f t="shared" si="3"/>
        <v>49.52287453</v>
      </c>
      <c r="H20" s="97">
        <f t="shared" si="4"/>
        <v>55.02541615</v>
      </c>
      <c r="I20" s="97">
        <f t="shared" si="5"/>
        <v>-0.1</v>
      </c>
      <c r="J20" s="97">
        <f t="shared" si="6"/>
        <v>-0.4497458385</v>
      </c>
      <c r="K20" s="111"/>
      <c r="L20" s="98"/>
    </row>
    <row r="21" ht="15.75" customHeight="1">
      <c r="B21" s="17"/>
      <c r="C21" s="113">
        <v>50.0</v>
      </c>
      <c r="D21" s="97">
        <f>'Dia 0'!G77</f>
        <v>6.5</v>
      </c>
      <c r="E21" s="97">
        <f t="shared" si="1"/>
        <v>65</v>
      </c>
      <c r="F21" s="97">
        <f t="shared" si="2"/>
        <v>65</v>
      </c>
      <c r="G21" s="97">
        <f t="shared" si="3"/>
        <v>14.71824072</v>
      </c>
      <c r="H21" s="97">
        <f t="shared" si="4"/>
        <v>22.64344727</v>
      </c>
      <c r="I21" s="97">
        <f t="shared" si="5"/>
        <v>-0.35</v>
      </c>
      <c r="J21" s="97">
        <f t="shared" si="6"/>
        <v>-0.7735655273</v>
      </c>
    </row>
    <row r="22" ht="15.75" customHeight="1">
      <c r="B22" s="17"/>
      <c r="C22" s="113">
        <v>75.0</v>
      </c>
      <c r="D22" s="97">
        <f>'Dia 0'!G79</f>
        <v>2</v>
      </c>
      <c r="E22" s="97">
        <f t="shared" si="1"/>
        <v>20</v>
      </c>
      <c r="F22" s="97">
        <f t="shared" si="2"/>
        <v>20</v>
      </c>
      <c r="G22" s="97">
        <f t="shared" si="3"/>
        <v>3.569605341</v>
      </c>
      <c r="H22" s="97">
        <f t="shared" si="4"/>
        <v>17.8480267</v>
      </c>
      <c r="I22" s="97">
        <f t="shared" si="5"/>
        <v>-0.8</v>
      </c>
      <c r="J22" s="97">
        <f t="shared" si="6"/>
        <v>-0.821519733</v>
      </c>
    </row>
    <row r="23" ht="15.75" customHeight="1">
      <c r="B23" s="28"/>
      <c r="C23" s="113">
        <v>100.0</v>
      </c>
      <c r="D23" s="97">
        <f>'Dia 0'!G81</f>
        <v>0.5</v>
      </c>
      <c r="E23" s="97">
        <f t="shared" si="1"/>
        <v>5</v>
      </c>
      <c r="F23" s="97">
        <f t="shared" si="2"/>
        <v>5</v>
      </c>
      <c r="G23" s="97">
        <f t="shared" si="3"/>
        <v>0.01963479285</v>
      </c>
      <c r="H23" s="97">
        <f t="shared" si="4"/>
        <v>0.3926958571</v>
      </c>
      <c r="I23" s="97">
        <f t="shared" si="5"/>
        <v>-0.95</v>
      </c>
      <c r="J23" s="97">
        <f t="shared" si="6"/>
        <v>-0.9960730414</v>
      </c>
    </row>
    <row r="24" ht="15.75" customHeight="1">
      <c r="B24" s="114" t="s">
        <v>52</v>
      </c>
      <c r="C24" s="10"/>
      <c r="D24" s="97">
        <f>'Dia 0'!G35</f>
        <v>9.5</v>
      </c>
      <c r="E24" s="97">
        <f>'Dia 0'!I35</f>
        <v>95</v>
      </c>
      <c r="F24" s="97">
        <f>'Dia 0'!K35</f>
        <v>95</v>
      </c>
      <c r="G24" s="97">
        <f>'Dia 0'!O35</f>
        <v>69.75456509</v>
      </c>
      <c r="H24" s="97">
        <f>'Dia 0'!M35</f>
        <v>73.42585799</v>
      </c>
      <c r="I24" s="115">
        <f>'Dia 0'!Q37</f>
        <v>0</v>
      </c>
      <c r="J24" s="115">
        <f>'Dia 0'!S37</f>
        <v>0</v>
      </c>
    </row>
    <row r="25" ht="15.75" customHeight="1">
      <c r="B25" s="114" t="s">
        <v>11</v>
      </c>
      <c r="C25" s="10"/>
      <c r="D25" s="97">
        <f>'Dia 0'!G41</f>
        <v>8</v>
      </c>
      <c r="E25" s="97">
        <f>'Dia 0'!I41</f>
        <v>80</v>
      </c>
      <c r="F25" s="97">
        <f>'Dia 0'!K41</f>
        <v>80</v>
      </c>
      <c r="G25" s="97">
        <f>'Dia 0'!O41</f>
        <v>7.48432104</v>
      </c>
      <c r="H25" s="97">
        <f>'Dia 0'!M41</f>
        <v>9.355401301</v>
      </c>
      <c r="I25" s="116">
        <f>'Dia 0'!Q41</f>
        <v>-0.2</v>
      </c>
      <c r="J25" s="116">
        <f>'Dia 0'!S41</f>
        <v>-0.906445987</v>
      </c>
    </row>
    <row r="26" ht="15.75" customHeight="1">
      <c r="B26" s="117"/>
      <c r="H26" s="118"/>
    </row>
    <row r="27" ht="15.75" customHeight="1">
      <c r="B27" s="117"/>
      <c r="H27" s="118"/>
    </row>
    <row r="28" ht="15.75" customHeight="1">
      <c r="H28" s="118"/>
    </row>
    <row r="29" ht="15.75" customHeight="1">
      <c r="H29" s="118"/>
    </row>
    <row r="30" ht="15.75" customHeight="1">
      <c r="H30" s="118"/>
    </row>
    <row r="31" ht="15.75" customHeight="1">
      <c r="H31" s="118"/>
    </row>
    <row r="32" ht="15.75" customHeight="1">
      <c r="H32" s="118"/>
    </row>
    <row r="33" ht="15.75" customHeight="1">
      <c r="H33" s="118"/>
    </row>
    <row r="34" ht="15.75" customHeight="1">
      <c r="H34" s="118"/>
    </row>
    <row r="35" ht="15.75" customHeight="1">
      <c r="H35" s="118"/>
    </row>
    <row r="36" ht="15.75" customHeight="1">
      <c r="H36" s="118"/>
    </row>
    <row r="37" ht="15.75" customHeight="1">
      <c r="H37" s="118"/>
    </row>
    <row r="38" ht="15.75" customHeight="1">
      <c r="H38" s="118"/>
    </row>
    <row r="39" ht="15.75" customHeight="1">
      <c r="H39" s="118"/>
    </row>
    <row r="40" ht="15.75" customHeight="1">
      <c r="H40" s="118"/>
    </row>
    <row r="41" ht="15.75" customHeight="1">
      <c r="H41" s="118"/>
    </row>
    <row r="42" ht="15.75" customHeight="1">
      <c r="H42" s="118"/>
    </row>
    <row r="43" ht="15.75" customHeight="1">
      <c r="H43" s="118"/>
    </row>
    <row r="44" ht="15.75" customHeight="1">
      <c r="H44" s="118"/>
    </row>
    <row r="45" ht="15.75" customHeight="1">
      <c r="H45" s="118"/>
    </row>
    <row r="46" ht="15.75" customHeight="1">
      <c r="H46" s="118"/>
    </row>
    <row r="47" ht="15.75" customHeight="1">
      <c r="H47" s="118"/>
    </row>
    <row r="48" ht="15.75" customHeight="1">
      <c r="H48" s="118"/>
    </row>
    <row r="49" ht="15.75" customHeight="1">
      <c r="H49" s="118"/>
    </row>
    <row r="50" ht="15.75" customHeight="1">
      <c r="H50" s="118"/>
    </row>
    <row r="51" ht="15.75" customHeight="1">
      <c r="H51" s="118"/>
    </row>
    <row r="52" ht="15.75" customHeight="1">
      <c r="H52" s="118"/>
    </row>
    <row r="53" ht="15.75" customHeight="1">
      <c r="H53" s="118"/>
    </row>
    <row r="54" ht="15.75" customHeight="1">
      <c r="H54" s="118"/>
    </row>
    <row r="55" ht="15.75" customHeight="1">
      <c r="H55" s="118"/>
    </row>
    <row r="56" ht="15.75" customHeight="1">
      <c r="H56" s="118"/>
    </row>
    <row r="57" ht="15.75" customHeight="1">
      <c r="H57" s="118"/>
    </row>
    <row r="58" ht="15.75" customHeight="1">
      <c r="H58" s="118"/>
    </row>
    <row r="59" ht="15.75" customHeight="1">
      <c r="H59" s="118"/>
    </row>
    <row r="60" ht="15.75" customHeight="1">
      <c r="H60" s="118"/>
    </row>
    <row r="61" ht="15.75" customHeight="1">
      <c r="H61" s="118"/>
    </row>
    <row r="62" ht="15.75" customHeight="1">
      <c r="H62" s="118"/>
    </row>
    <row r="63" ht="15.75" customHeight="1">
      <c r="H63" s="118"/>
    </row>
    <row r="64" ht="15.75" customHeight="1">
      <c r="H64" s="118"/>
    </row>
    <row r="65" ht="15.75" customHeight="1">
      <c r="H65" s="118"/>
    </row>
    <row r="66" ht="15.75" customHeight="1">
      <c r="H66" s="118"/>
    </row>
    <row r="67" ht="15.75" customHeight="1">
      <c r="H67" s="118"/>
    </row>
    <row r="68" ht="15.75" customHeight="1">
      <c r="H68" s="118"/>
    </row>
    <row r="69" ht="15.75" customHeight="1">
      <c r="H69" s="118"/>
    </row>
    <row r="70" ht="15.75" customHeight="1">
      <c r="H70" s="118"/>
    </row>
    <row r="71" ht="15.75" customHeight="1">
      <c r="H71" s="118"/>
    </row>
    <row r="72" ht="15.75" customHeight="1">
      <c r="H72" s="118"/>
    </row>
    <row r="73" ht="15.75" customHeight="1">
      <c r="H73" s="118"/>
    </row>
    <row r="74" ht="15.75" customHeight="1">
      <c r="H74" s="118"/>
    </row>
    <row r="75" ht="15.75" customHeight="1">
      <c r="H75" s="118"/>
    </row>
    <row r="76" ht="15.75" customHeight="1">
      <c r="H76" s="118"/>
    </row>
    <row r="77" ht="15.75" customHeight="1">
      <c r="H77" s="118"/>
    </row>
    <row r="78" ht="15.75" customHeight="1">
      <c r="H78" s="118"/>
    </row>
    <row r="79" ht="15.75" customHeight="1">
      <c r="H79" s="118"/>
    </row>
    <row r="80" ht="15.75" customHeight="1">
      <c r="H80" s="118"/>
    </row>
    <row r="81" ht="15.75" customHeight="1">
      <c r="H81" s="118"/>
    </row>
    <row r="82" ht="15.75" customHeight="1">
      <c r="H82" s="118"/>
    </row>
    <row r="83" ht="15.75" customHeight="1">
      <c r="H83" s="118"/>
    </row>
    <row r="84" ht="15.75" customHeight="1">
      <c r="H84" s="118"/>
    </row>
    <row r="85" ht="15.75" customHeight="1">
      <c r="H85" s="118"/>
    </row>
    <row r="86" ht="15.75" customHeight="1">
      <c r="H86" s="118"/>
    </row>
    <row r="87" ht="15.75" customHeight="1">
      <c r="H87" s="118"/>
    </row>
    <row r="88" ht="15.75" customHeight="1">
      <c r="H88" s="118"/>
    </row>
    <row r="89" ht="15.75" customHeight="1">
      <c r="H89" s="118"/>
    </row>
    <row r="90" ht="15.75" customHeight="1">
      <c r="H90" s="118"/>
    </row>
    <row r="91" ht="15.75" customHeight="1">
      <c r="H91" s="118"/>
    </row>
    <row r="92" ht="15.75" customHeight="1">
      <c r="H92" s="118"/>
    </row>
    <row r="93" ht="15.75" customHeight="1">
      <c r="H93" s="118"/>
    </row>
    <row r="94" ht="15.75" customHeight="1">
      <c r="H94" s="118"/>
    </row>
    <row r="95" ht="15.75" customHeight="1">
      <c r="H95" s="118"/>
    </row>
    <row r="96" ht="15.75" customHeight="1">
      <c r="H96" s="118"/>
    </row>
    <row r="97" ht="15.75" customHeight="1">
      <c r="H97" s="118"/>
    </row>
    <row r="98" ht="15.75" customHeight="1">
      <c r="H98" s="118"/>
    </row>
    <row r="99" ht="15.75" customHeight="1">
      <c r="H99" s="118"/>
    </row>
    <row r="100" ht="15.75" customHeight="1">
      <c r="H100" s="118"/>
    </row>
    <row r="101" ht="15.75" customHeight="1">
      <c r="H101" s="118"/>
    </row>
    <row r="102" ht="15.75" customHeight="1">
      <c r="H102" s="118"/>
    </row>
    <row r="103" ht="15.75" customHeight="1">
      <c r="H103" s="118"/>
    </row>
    <row r="104" ht="15.75" customHeight="1">
      <c r="H104" s="118"/>
    </row>
    <row r="105" ht="15.75" customHeight="1">
      <c r="H105" s="118"/>
    </row>
    <row r="106" ht="15.75" customHeight="1">
      <c r="H106" s="118"/>
    </row>
    <row r="107" ht="15.75" customHeight="1">
      <c r="H107" s="118"/>
    </row>
    <row r="108" ht="15.75" customHeight="1">
      <c r="H108" s="118"/>
    </row>
    <row r="109" ht="15.75" customHeight="1">
      <c r="H109" s="118"/>
    </row>
    <row r="110" ht="15.75" customHeight="1">
      <c r="H110" s="118"/>
    </row>
    <row r="111" ht="15.75" customHeight="1">
      <c r="H111" s="118"/>
    </row>
    <row r="112" ht="15.75" customHeight="1">
      <c r="H112" s="118"/>
    </row>
    <row r="113" ht="15.75" customHeight="1">
      <c r="H113" s="118"/>
    </row>
    <row r="114" ht="15.75" customHeight="1">
      <c r="H114" s="118"/>
    </row>
    <row r="115" ht="15.75" customHeight="1">
      <c r="H115" s="118"/>
    </row>
    <row r="116" ht="15.75" customHeight="1">
      <c r="H116" s="118"/>
    </row>
    <row r="117" ht="15.75" customHeight="1">
      <c r="H117" s="118"/>
    </row>
    <row r="118" ht="15.75" customHeight="1">
      <c r="H118" s="118"/>
    </row>
    <row r="119" ht="15.75" customHeight="1">
      <c r="H119" s="118"/>
    </row>
    <row r="120" ht="15.75" customHeight="1">
      <c r="H120" s="118"/>
    </row>
    <row r="121" ht="15.75" customHeight="1">
      <c r="H121" s="118"/>
    </row>
    <row r="122" ht="15.75" customHeight="1">
      <c r="H122" s="118"/>
    </row>
    <row r="123" ht="15.75" customHeight="1">
      <c r="H123" s="118"/>
    </row>
    <row r="124" ht="15.75" customHeight="1">
      <c r="H124" s="118"/>
    </row>
    <row r="125" ht="15.75" customHeight="1">
      <c r="H125" s="118"/>
    </row>
    <row r="126" ht="15.75" customHeight="1">
      <c r="H126" s="118"/>
    </row>
    <row r="127" ht="15.75" customHeight="1">
      <c r="H127" s="118"/>
    </row>
    <row r="128" ht="15.75" customHeight="1">
      <c r="H128" s="118"/>
    </row>
    <row r="129" ht="15.75" customHeight="1">
      <c r="H129" s="118"/>
    </row>
    <row r="130" ht="15.75" customHeight="1">
      <c r="H130" s="118"/>
    </row>
    <row r="131" ht="15.75" customHeight="1">
      <c r="H131" s="118"/>
    </row>
    <row r="132" ht="15.75" customHeight="1">
      <c r="H132" s="118"/>
    </row>
    <row r="133" ht="15.75" customHeight="1">
      <c r="H133" s="118"/>
    </row>
    <row r="134" ht="15.75" customHeight="1">
      <c r="H134" s="118"/>
    </row>
    <row r="135" ht="15.75" customHeight="1">
      <c r="H135" s="118"/>
    </row>
    <row r="136" ht="15.75" customHeight="1">
      <c r="H136" s="118"/>
    </row>
    <row r="137" ht="15.75" customHeight="1">
      <c r="H137" s="118"/>
    </row>
    <row r="138" ht="15.75" customHeight="1">
      <c r="H138" s="118"/>
    </row>
    <row r="139" ht="15.75" customHeight="1">
      <c r="H139" s="118"/>
    </row>
    <row r="140" ht="15.75" customHeight="1">
      <c r="H140" s="118"/>
    </row>
    <row r="141" ht="15.75" customHeight="1">
      <c r="H141" s="118"/>
    </row>
    <row r="142" ht="15.75" customHeight="1">
      <c r="H142" s="118"/>
    </row>
    <row r="143" ht="15.75" customHeight="1">
      <c r="H143" s="118"/>
    </row>
    <row r="144" ht="15.75" customHeight="1">
      <c r="H144" s="118"/>
    </row>
    <row r="145" ht="15.75" customHeight="1">
      <c r="H145" s="118"/>
    </row>
    <row r="146" ht="15.75" customHeight="1">
      <c r="H146" s="118"/>
    </row>
    <row r="147" ht="15.75" customHeight="1">
      <c r="H147" s="118"/>
    </row>
    <row r="148" ht="15.75" customHeight="1">
      <c r="H148" s="118"/>
    </row>
    <row r="149" ht="15.75" customHeight="1">
      <c r="H149" s="118"/>
    </row>
    <row r="150" ht="15.75" customHeight="1">
      <c r="H150" s="118"/>
    </row>
    <row r="151" ht="15.75" customHeight="1">
      <c r="H151" s="118"/>
    </row>
    <row r="152" ht="15.75" customHeight="1">
      <c r="H152" s="118"/>
    </row>
    <row r="153" ht="15.75" customHeight="1">
      <c r="H153" s="118"/>
    </row>
    <row r="154" ht="15.75" customHeight="1">
      <c r="H154" s="118"/>
    </row>
    <row r="155" ht="15.75" customHeight="1">
      <c r="H155" s="118"/>
    </row>
    <row r="156" ht="15.75" customHeight="1">
      <c r="H156" s="118"/>
    </row>
    <row r="157" ht="15.75" customHeight="1">
      <c r="H157" s="118"/>
    </row>
    <row r="158" ht="15.75" customHeight="1">
      <c r="H158" s="118"/>
    </row>
    <row r="159" ht="15.75" customHeight="1">
      <c r="H159" s="118"/>
    </row>
    <row r="160" ht="15.75" customHeight="1">
      <c r="H160" s="118"/>
    </row>
    <row r="161" ht="15.75" customHeight="1">
      <c r="H161" s="118"/>
    </row>
    <row r="162" ht="15.75" customHeight="1">
      <c r="H162" s="118"/>
    </row>
    <row r="163" ht="15.75" customHeight="1">
      <c r="H163" s="118"/>
    </row>
    <row r="164" ht="15.75" customHeight="1">
      <c r="H164" s="118"/>
    </row>
    <row r="165" ht="15.75" customHeight="1">
      <c r="H165" s="118"/>
    </row>
    <row r="166" ht="15.75" customHeight="1">
      <c r="H166" s="118"/>
    </row>
    <row r="167" ht="15.75" customHeight="1">
      <c r="H167" s="118"/>
    </row>
    <row r="168" ht="15.75" customHeight="1">
      <c r="H168" s="118"/>
    </row>
    <row r="169" ht="15.75" customHeight="1">
      <c r="H169" s="118"/>
    </row>
    <row r="170" ht="15.75" customHeight="1">
      <c r="H170" s="118"/>
    </row>
    <row r="171" ht="15.75" customHeight="1">
      <c r="H171" s="118"/>
    </row>
    <row r="172" ht="15.75" customHeight="1">
      <c r="H172" s="118"/>
    </row>
    <row r="173" ht="15.75" customHeight="1">
      <c r="H173" s="118"/>
    </row>
    <row r="174" ht="15.75" customHeight="1">
      <c r="H174" s="118"/>
    </row>
    <row r="175" ht="15.75" customHeight="1">
      <c r="H175" s="118"/>
    </row>
    <row r="176" ht="15.75" customHeight="1">
      <c r="H176" s="118"/>
    </row>
    <row r="177" ht="15.75" customHeight="1">
      <c r="H177" s="118"/>
    </row>
    <row r="178" ht="15.75" customHeight="1">
      <c r="H178" s="118"/>
    </row>
    <row r="179" ht="15.75" customHeight="1">
      <c r="H179" s="118"/>
    </row>
    <row r="180" ht="15.75" customHeight="1">
      <c r="H180" s="118"/>
    </row>
    <row r="181" ht="15.75" customHeight="1">
      <c r="H181" s="118"/>
    </row>
    <row r="182" ht="15.75" customHeight="1">
      <c r="H182" s="118"/>
    </row>
    <row r="183" ht="15.75" customHeight="1">
      <c r="H183" s="118"/>
    </row>
    <row r="184" ht="15.75" customHeight="1">
      <c r="H184" s="118"/>
    </row>
    <row r="185" ht="15.75" customHeight="1">
      <c r="H185" s="118"/>
    </row>
    <row r="186" ht="15.75" customHeight="1">
      <c r="H186" s="118"/>
    </row>
    <row r="187" ht="15.75" customHeight="1">
      <c r="H187" s="118"/>
    </row>
    <row r="188" ht="15.75" customHeight="1">
      <c r="H188" s="118"/>
    </row>
    <row r="189" ht="15.75" customHeight="1">
      <c r="H189" s="118"/>
    </row>
    <row r="190" ht="15.75" customHeight="1">
      <c r="H190" s="118"/>
    </row>
    <row r="191" ht="15.75" customHeight="1">
      <c r="H191" s="118"/>
    </row>
    <row r="192" ht="15.75" customHeight="1">
      <c r="H192" s="118"/>
    </row>
    <row r="193" ht="15.75" customHeight="1">
      <c r="H193" s="118"/>
    </row>
    <row r="194" ht="15.75" customHeight="1">
      <c r="H194" s="118"/>
    </row>
    <row r="195" ht="15.75" customHeight="1">
      <c r="H195" s="118"/>
    </row>
    <row r="196" ht="15.75" customHeight="1">
      <c r="H196" s="118"/>
    </row>
    <row r="197" ht="15.75" customHeight="1">
      <c r="H197" s="118"/>
    </row>
    <row r="198" ht="15.75" customHeight="1">
      <c r="H198" s="118"/>
    </row>
    <row r="199" ht="15.75" customHeight="1">
      <c r="H199" s="118"/>
    </row>
    <row r="200" ht="15.75" customHeight="1">
      <c r="H200" s="118"/>
    </row>
    <row r="201" ht="15.75" customHeight="1">
      <c r="H201" s="118"/>
    </row>
    <row r="202" ht="15.75" customHeight="1">
      <c r="H202" s="118"/>
    </row>
    <row r="203" ht="15.75" customHeight="1">
      <c r="H203" s="118"/>
    </row>
    <row r="204" ht="15.75" customHeight="1">
      <c r="H204" s="118"/>
    </row>
    <row r="205" ht="15.75" customHeight="1">
      <c r="H205" s="118"/>
    </row>
    <row r="206" ht="15.75" customHeight="1">
      <c r="H206" s="118"/>
    </row>
    <row r="207" ht="15.75" customHeight="1">
      <c r="H207" s="118"/>
    </row>
    <row r="208" ht="15.75" customHeight="1">
      <c r="H208" s="118"/>
    </row>
    <row r="209" ht="15.75" customHeight="1">
      <c r="H209" s="118"/>
    </row>
    <row r="210" ht="15.75" customHeight="1">
      <c r="H210" s="118"/>
    </row>
    <row r="211" ht="15.75" customHeight="1">
      <c r="H211" s="118"/>
    </row>
    <row r="212" ht="15.75" customHeight="1">
      <c r="H212" s="118"/>
    </row>
    <row r="213" ht="15.75" customHeight="1">
      <c r="H213" s="118"/>
    </row>
    <row r="214" ht="15.75" customHeight="1">
      <c r="H214" s="118"/>
    </row>
    <row r="215" ht="15.75" customHeight="1">
      <c r="H215" s="118"/>
    </row>
    <row r="216" ht="15.75" customHeight="1">
      <c r="H216" s="118"/>
    </row>
    <row r="217" ht="15.75" customHeight="1">
      <c r="H217" s="118"/>
    </row>
    <row r="218" ht="15.75" customHeight="1">
      <c r="H218" s="118"/>
    </row>
    <row r="219" ht="15.75" customHeight="1">
      <c r="H219" s="118"/>
    </row>
    <row r="220" ht="15.75" customHeight="1">
      <c r="H220" s="118"/>
    </row>
    <row r="221" ht="15.75" customHeight="1">
      <c r="H221" s="118"/>
    </row>
    <row r="222" ht="15.75" customHeight="1">
      <c r="H222" s="118"/>
    </row>
    <row r="223" ht="15.75" customHeight="1">
      <c r="H223" s="118"/>
    </row>
    <row r="224" ht="15.75" customHeight="1">
      <c r="H224" s="118"/>
    </row>
    <row r="225" ht="15.75" customHeight="1">
      <c r="H225" s="118"/>
    </row>
    <row r="226" ht="15.75" customHeight="1">
      <c r="H226" s="118"/>
    </row>
    <row r="227" ht="15.75" customHeight="1">
      <c r="H227" s="118"/>
    </row>
    <row r="228" ht="15.75" customHeight="1">
      <c r="H228" s="118"/>
    </row>
    <row r="229" ht="15.75" customHeight="1">
      <c r="H229" s="118"/>
    </row>
    <row r="230" ht="15.75" customHeight="1">
      <c r="H230" s="118"/>
    </row>
    <row r="231" ht="15.75" customHeight="1">
      <c r="H231" s="118"/>
    </row>
    <row r="232" ht="15.75" customHeight="1">
      <c r="H232" s="118"/>
    </row>
    <row r="233" ht="15.75" customHeight="1">
      <c r="H233" s="118"/>
    </row>
    <row r="234" ht="15.75" customHeight="1">
      <c r="H234" s="118"/>
    </row>
    <row r="235" ht="15.75" customHeight="1">
      <c r="H235" s="118"/>
    </row>
    <row r="236" ht="15.75" customHeight="1">
      <c r="H236" s="118"/>
    </row>
    <row r="237" ht="15.75" customHeight="1">
      <c r="H237" s="118"/>
    </row>
    <row r="238" ht="15.75" customHeight="1">
      <c r="H238" s="118"/>
    </row>
    <row r="239" ht="15.75" customHeight="1">
      <c r="H239" s="118"/>
    </row>
    <row r="240" ht="15.75" customHeight="1">
      <c r="H240" s="118"/>
    </row>
    <row r="241" ht="15.75" customHeight="1">
      <c r="H241" s="118"/>
    </row>
    <row r="242" ht="15.75" customHeight="1">
      <c r="H242" s="118"/>
    </row>
    <row r="243" ht="15.75" customHeight="1">
      <c r="H243" s="118"/>
    </row>
    <row r="244" ht="15.75" customHeight="1">
      <c r="H244" s="118"/>
    </row>
    <row r="245" ht="15.75" customHeight="1">
      <c r="H245" s="118"/>
    </row>
    <row r="246" ht="15.75" customHeight="1">
      <c r="H246" s="118"/>
    </row>
    <row r="247" ht="15.75" customHeight="1">
      <c r="H247" s="118"/>
    </row>
    <row r="248" ht="15.75" customHeight="1">
      <c r="H248" s="118"/>
    </row>
    <row r="249" ht="15.75" customHeight="1">
      <c r="H249" s="118"/>
    </row>
    <row r="250" ht="15.75" customHeight="1">
      <c r="H250" s="118"/>
    </row>
    <row r="251" ht="15.75" customHeight="1">
      <c r="H251" s="118"/>
    </row>
    <row r="252" ht="15.75" customHeight="1">
      <c r="H252" s="118"/>
    </row>
    <row r="253" ht="15.75" customHeight="1">
      <c r="H253" s="118"/>
    </row>
    <row r="254" ht="15.75" customHeight="1">
      <c r="H254" s="118"/>
    </row>
    <row r="255" ht="15.75" customHeight="1">
      <c r="H255" s="118"/>
    </row>
    <row r="256" ht="15.75" customHeight="1">
      <c r="H256" s="118"/>
    </row>
    <row r="257" ht="15.75" customHeight="1">
      <c r="H257" s="118"/>
    </row>
    <row r="258" ht="15.75" customHeight="1">
      <c r="H258" s="118"/>
    </row>
    <row r="259" ht="15.75" customHeight="1">
      <c r="H259" s="118"/>
    </row>
    <row r="260" ht="15.75" customHeight="1">
      <c r="H260" s="118"/>
    </row>
    <row r="261" ht="15.75" customHeight="1">
      <c r="H261" s="118"/>
    </row>
    <row r="262" ht="15.75" customHeight="1">
      <c r="H262" s="118"/>
    </row>
    <row r="263" ht="15.75" customHeight="1">
      <c r="H263" s="118"/>
    </row>
    <row r="264" ht="15.75" customHeight="1">
      <c r="H264" s="118"/>
    </row>
    <row r="265" ht="15.75" customHeight="1">
      <c r="H265" s="118"/>
    </row>
    <row r="266" ht="15.75" customHeight="1">
      <c r="H266" s="118"/>
    </row>
    <row r="267" ht="15.75" customHeight="1">
      <c r="H267" s="118"/>
    </row>
    <row r="268" ht="15.75" customHeight="1">
      <c r="H268" s="118"/>
    </row>
    <row r="269" ht="15.75" customHeight="1">
      <c r="H269" s="118"/>
    </row>
    <row r="270" ht="15.75" customHeight="1">
      <c r="H270" s="118"/>
    </row>
    <row r="271" ht="15.75" customHeight="1">
      <c r="H271" s="118"/>
    </row>
    <row r="272" ht="15.75" customHeight="1">
      <c r="H272" s="118"/>
    </row>
    <row r="273" ht="15.75" customHeight="1">
      <c r="H273" s="118"/>
    </row>
    <row r="274" ht="15.75" customHeight="1">
      <c r="H274" s="118"/>
    </row>
    <row r="275" ht="15.75" customHeight="1">
      <c r="H275" s="118"/>
    </row>
    <row r="276" ht="15.75" customHeight="1">
      <c r="H276" s="118"/>
    </row>
    <row r="277" ht="15.75" customHeight="1">
      <c r="H277" s="118"/>
    </row>
    <row r="278" ht="15.75" customHeight="1">
      <c r="H278" s="118"/>
    </row>
    <row r="279" ht="15.75" customHeight="1">
      <c r="H279" s="118"/>
    </row>
    <row r="280" ht="15.75" customHeight="1">
      <c r="H280" s="118"/>
    </row>
    <row r="281" ht="15.75" customHeight="1">
      <c r="H281" s="118"/>
    </row>
    <row r="282" ht="15.75" customHeight="1">
      <c r="H282" s="118"/>
    </row>
    <row r="283" ht="15.75" customHeight="1">
      <c r="H283" s="118"/>
    </row>
    <row r="284" ht="15.75" customHeight="1">
      <c r="H284" s="118"/>
    </row>
    <row r="285" ht="15.75" customHeight="1">
      <c r="H285" s="118"/>
    </row>
    <row r="286" ht="15.75" customHeight="1">
      <c r="H286" s="118"/>
    </row>
    <row r="287" ht="15.75" customHeight="1">
      <c r="H287" s="118"/>
    </row>
    <row r="288" ht="15.75" customHeight="1">
      <c r="H288" s="118"/>
    </row>
    <row r="289" ht="15.75" customHeight="1">
      <c r="H289" s="118"/>
    </row>
    <row r="290" ht="15.75" customHeight="1">
      <c r="H290" s="118"/>
    </row>
    <row r="291" ht="15.75" customHeight="1">
      <c r="H291" s="118"/>
    </row>
    <row r="292" ht="15.75" customHeight="1">
      <c r="H292" s="118"/>
    </row>
    <row r="293" ht="15.75" customHeight="1">
      <c r="H293" s="118"/>
    </row>
    <row r="294" ht="15.75" customHeight="1">
      <c r="H294" s="118"/>
    </row>
    <row r="295" ht="15.75" customHeight="1">
      <c r="H295" s="118"/>
    </row>
    <row r="296" ht="15.75" customHeight="1">
      <c r="H296" s="118"/>
    </row>
    <row r="297" ht="15.75" customHeight="1">
      <c r="H297" s="118"/>
    </row>
    <row r="298" ht="15.75" customHeight="1">
      <c r="H298" s="118"/>
    </row>
    <row r="299" ht="15.75" customHeight="1">
      <c r="H299" s="118"/>
    </row>
    <row r="300" ht="15.75" customHeight="1">
      <c r="H300" s="118"/>
    </row>
    <row r="301" ht="15.75" customHeight="1">
      <c r="H301" s="118"/>
    </row>
    <row r="302" ht="15.75" customHeight="1">
      <c r="H302" s="118"/>
    </row>
    <row r="303" ht="15.75" customHeight="1">
      <c r="H303" s="118"/>
    </row>
    <row r="304" ht="15.75" customHeight="1">
      <c r="H304" s="118"/>
    </row>
    <row r="305" ht="15.75" customHeight="1">
      <c r="H305" s="118"/>
    </row>
    <row r="306" ht="15.75" customHeight="1">
      <c r="H306" s="118"/>
    </row>
    <row r="307" ht="15.75" customHeight="1">
      <c r="H307" s="118"/>
    </row>
    <row r="308" ht="15.75" customHeight="1">
      <c r="H308" s="118"/>
    </row>
    <row r="309" ht="15.75" customHeight="1">
      <c r="H309" s="118"/>
    </row>
    <row r="310" ht="15.75" customHeight="1">
      <c r="H310" s="118"/>
    </row>
    <row r="311" ht="15.75" customHeight="1">
      <c r="H311" s="118"/>
    </row>
    <row r="312" ht="15.75" customHeight="1">
      <c r="H312" s="118"/>
    </row>
    <row r="313" ht="15.75" customHeight="1">
      <c r="H313" s="118"/>
    </row>
    <row r="314" ht="15.75" customHeight="1">
      <c r="H314" s="118"/>
    </row>
    <row r="315" ht="15.75" customHeight="1">
      <c r="H315" s="118"/>
    </row>
    <row r="316" ht="15.75" customHeight="1">
      <c r="H316" s="118"/>
    </row>
    <row r="317" ht="15.75" customHeight="1">
      <c r="H317" s="118"/>
    </row>
    <row r="318" ht="15.75" customHeight="1">
      <c r="H318" s="118"/>
    </row>
    <row r="319" ht="15.75" customHeight="1">
      <c r="H319" s="118"/>
    </row>
    <row r="320" ht="15.75" customHeight="1">
      <c r="H320" s="118"/>
    </row>
    <row r="321" ht="15.75" customHeight="1">
      <c r="H321" s="118"/>
    </row>
    <row r="322" ht="15.75" customHeight="1">
      <c r="H322" s="118"/>
    </row>
    <row r="323" ht="15.75" customHeight="1">
      <c r="H323" s="118"/>
    </row>
    <row r="324" ht="15.75" customHeight="1">
      <c r="H324" s="118"/>
    </row>
    <row r="325" ht="15.75" customHeight="1">
      <c r="H325" s="118"/>
    </row>
    <row r="326" ht="15.75" customHeight="1">
      <c r="H326" s="118"/>
    </row>
    <row r="327" ht="15.75" customHeight="1">
      <c r="H327" s="118"/>
    </row>
    <row r="328" ht="15.75" customHeight="1">
      <c r="H328" s="118"/>
    </row>
    <row r="329" ht="15.75" customHeight="1">
      <c r="H329" s="118"/>
    </row>
    <row r="330" ht="15.75" customHeight="1">
      <c r="H330" s="118"/>
    </row>
    <row r="331" ht="15.75" customHeight="1">
      <c r="H331" s="118"/>
    </row>
    <row r="332" ht="15.75" customHeight="1">
      <c r="H332" s="118"/>
    </row>
    <row r="333" ht="15.75" customHeight="1">
      <c r="H333" s="118"/>
    </row>
    <row r="334" ht="15.75" customHeight="1">
      <c r="H334" s="118"/>
    </row>
    <row r="335" ht="15.75" customHeight="1">
      <c r="H335" s="118"/>
    </row>
    <row r="336" ht="15.75" customHeight="1">
      <c r="H336" s="118"/>
    </row>
    <row r="337" ht="15.75" customHeight="1">
      <c r="H337" s="118"/>
    </row>
    <row r="338" ht="15.75" customHeight="1">
      <c r="H338" s="118"/>
    </row>
    <row r="339" ht="15.75" customHeight="1">
      <c r="H339" s="118"/>
    </row>
    <row r="340" ht="15.75" customHeight="1">
      <c r="H340" s="118"/>
    </row>
    <row r="341" ht="15.75" customHeight="1">
      <c r="H341" s="118"/>
    </row>
    <row r="342" ht="15.75" customHeight="1">
      <c r="H342" s="118"/>
    </row>
    <row r="343" ht="15.75" customHeight="1">
      <c r="H343" s="118"/>
    </row>
    <row r="344" ht="15.75" customHeight="1">
      <c r="H344" s="118"/>
    </row>
    <row r="345" ht="15.75" customHeight="1">
      <c r="H345" s="118"/>
    </row>
    <row r="346" ht="15.75" customHeight="1">
      <c r="H346" s="118"/>
    </row>
    <row r="347" ht="15.75" customHeight="1">
      <c r="H347" s="118"/>
    </row>
    <row r="348" ht="15.75" customHeight="1">
      <c r="H348" s="118"/>
    </row>
    <row r="349" ht="15.75" customHeight="1">
      <c r="H349" s="118"/>
    </row>
    <row r="350" ht="15.75" customHeight="1">
      <c r="H350" s="118"/>
    </row>
    <row r="351" ht="15.75" customHeight="1">
      <c r="H351" s="118"/>
    </row>
    <row r="352" ht="15.75" customHeight="1">
      <c r="H352" s="118"/>
    </row>
    <row r="353" ht="15.75" customHeight="1">
      <c r="H353" s="118"/>
    </row>
    <row r="354" ht="15.75" customHeight="1">
      <c r="H354" s="118"/>
    </row>
    <row r="355" ht="15.75" customHeight="1">
      <c r="H355" s="118"/>
    </row>
    <row r="356" ht="15.75" customHeight="1">
      <c r="H356" s="118"/>
    </row>
    <row r="357" ht="15.75" customHeight="1">
      <c r="H357" s="118"/>
    </row>
    <row r="358" ht="15.75" customHeight="1">
      <c r="H358" s="118"/>
    </row>
    <row r="359" ht="15.75" customHeight="1">
      <c r="H359" s="118"/>
    </row>
    <row r="360" ht="15.75" customHeight="1">
      <c r="H360" s="118"/>
    </row>
    <row r="361" ht="15.75" customHeight="1">
      <c r="H361" s="118"/>
    </row>
    <row r="362" ht="15.75" customHeight="1">
      <c r="H362" s="118"/>
    </row>
    <row r="363" ht="15.75" customHeight="1">
      <c r="H363" s="118"/>
    </row>
    <row r="364" ht="15.75" customHeight="1">
      <c r="H364" s="118"/>
    </row>
    <row r="365" ht="15.75" customHeight="1">
      <c r="H365" s="118"/>
    </row>
    <row r="366" ht="15.75" customHeight="1">
      <c r="H366" s="118"/>
    </row>
    <row r="367" ht="15.75" customHeight="1">
      <c r="H367" s="118"/>
    </row>
    <row r="368" ht="15.75" customHeight="1">
      <c r="H368" s="118"/>
    </row>
    <row r="369" ht="15.75" customHeight="1">
      <c r="H369" s="118"/>
    </row>
    <row r="370" ht="15.75" customHeight="1">
      <c r="H370" s="118"/>
    </row>
    <row r="371" ht="15.75" customHeight="1">
      <c r="H371" s="118"/>
    </row>
    <row r="372" ht="15.75" customHeight="1">
      <c r="H372" s="118"/>
    </row>
    <row r="373" ht="15.75" customHeight="1">
      <c r="H373" s="118"/>
    </row>
    <row r="374" ht="15.75" customHeight="1">
      <c r="H374" s="118"/>
    </row>
    <row r="375" ht="15.75" customHeight="1">
      <c r="H375" s="118"/>
    </row>
    <row r="376" ht="15.75" customHeight="1">
      <c r="H376" s="118"/>
    </row>
    <row r="377" ht="15.75" customHeight="1">
      <c r="H377" s="118"/>
    </row>
    <row r="378" ht="15.75" customHeight="1">
      <c r="H378" s="118"/>
    </row>
    <row r="379" ht="15.75" customHeight="1">
      <c r="H379" s="118"/>
    </row>
    <row r="380" ht="15.75" customHeight="1">
      <c r="H380" s="118"/>
    </row>
    <row r="381" ht="15.75" customHeight="1">
      <c r="H381" s="118"/>
    </row>
    <row r="382" ht="15.75" customHeight="1">
      <c r="H382" s="118"/>
    </row>
    <row r="383" ht="15.75" customHeight="1">
      <c r="H383" s="118"/>
    </row>
    <row r="384" ht="15.75" customHeight="1">
      <c r="H384" s="118"/>
    </row>
    <row r="385" ht="15.75" customHeight="1">
      <c r="H385" s="118"/>
    </row>
    <row r="386" ht="15.75" customHeight="1">
      <c r="H386" s="118"/>
    </row>
    <row r="387" ht="15.75" customHeight="1">
      <c r="H387" s="118"/>
    </row>
    <row r="388" ht="15.75" customHeight="1">
      <c r="H388" s="118"/>
    </row>
    <row r="389" ht="15.75" customHeight="1">
      <c r="H389" s="118"/>
    </row>
    <row r="390" ht="15.75" customHeight="1">
      <c r="H390" s="118"/>
    </row>
    <row r="391" ht="15.75" customHeight="1">
      <c r="H391" s="118"/>
    </row>
    <row r="392" ht="15.75" customHeight="1">
      <c r="H392" s="118"/>
    </row>
    <row r="393" ht="15.75" customHeight="1">
      <c r="H393" s="118"/>
    </row>
    <row r="394" ht="15.75" customHeight="1">
      <c r="H394" s="118"/>
    </row>
    <row r="395" ht="15.75" customHeight="1">
      <c r="H395" s="118"/>
    </row>
    <row r="396" ht="15.75" customHeight="1">
      <c r="H396" s="118"/>
    </row>
    <row r="397" ht="15.75" customHeight="1">
      <c r="H397" s="118"/>
    </row>
    <row r="398" ht="15.75" customHeight="1">
      <c r="H398" s="118"/>
    </row>
    <row r="399" ht="15.75" customHeight="1">
      <c r="H399" s="118"/>
    </row>
    <row r="400" ht="15.75" customHeight="1">
      <c r="H400" s="118"/>
    </row>
    <row r="401" ht="15.75" customHeight="1">
      <c r="H401" s="118"/>
    </row>
    <row r="402" ht="15.75" customHeight="1">
      <c r="H402" s="118"/>
    </row>
    <row r="403" ht="15.75" customHeight="1">
      <c r="H403" s="118"/>
    </row>
    <row r="404" ht="15.75" customHeight="1">
      <c r="H404" s="118"/>
    </row>
    <row r="405" ht="15.75" customHeight="1">
      <c r="H405" s="118"/>
    </row>
    <row r="406" ht="15.75" customHeight="1">
      <c r="H406" s="118"/>
    </row>
    <row r="407" ht="15.75" customHeight="1">
      <c r="H407" s="118"/>
    </row>
    <row r="408" ht="15.75" customHeight="1">
      <c r="H408" s="118"/>
    </row>
    <row r="409" ht="15.75" customHeight="1">
      <c r="H409" s="118"/>
    </row>
    <row r="410" ht="15.75" customHeight="1">
      <c r="H410" s="118"/>
    </row>
    <row r="411" ht="15.75" customHeight="1">
      <c r="H411" s="118"/>
    </row>
    <row r="412" ht="15.75" customHeight="1">
      <c r="H412" s="118"/>
    </row>
    <row r="413" ht="15.75" customHeight="1">
      <c r="H413" s="118"/>
    </row>
    <row r="414" ht="15.75" customHeight="1">
      <c r="H414" s="118"/>
    </row>
    <row r="415" ht="15.75" customHeight="1">
      <c r="H415" s="118"/>
    </row>
    <row r="416" ht="15.75" customHeight="1">
      <c r="H416" s="118"/>
    </row>
    <row r="417" ht="15.75" customHeight="1">
      <c r="H417" s="118"/>
    </row>
    <row r="418" ht="15.75" customHeight="1">
      <c r="H418" s="118"/>
    </row>
    <row r="419" ht="15.75" customHeight="1">
      <c r="H419" s="118"/>
    </row>
    <row r="420" ht="15.75" customHeight="1">
      <c r="H420" s="118"/>
    </row>
    <row r="421" ht="15.75" customHeight="1">
      <c r="H421" s="118"/>
    </row>
    <row r="422" ht="15.75" customHeight="1">
      <c r="H422" s="118"/>
    </row>
    <row r="423" ht="15.75" customHeight="1">
      <c r="H423" s="118"/>
    </row>
    <row r="424" ht="15.75" customHeight="1">
      <c r="H424" s="118"/>
    </row>
    <row r="425" ht="15.75" customHeight="1">
      <c r="H425" s="118"/>
    </row>
    <row r="426" ht="15.75" customHeight="1">
      <c r="H426" s="118"/>
    </row>
    <row r="427" ht="15.75" customHeight="1">
      <c r="H427" s="118"/>
    </row>
    <row r="428" ht="15.75" customHeight="1">
      <c r="H428" s="118"/>
    </row>
    <row r="429" ht="15.75" customHeight="1">
      <c r="H429" s="118"/>
    </row>
    <row r="430" ht="15.75" customHeight="1">
      <c r="H430" s="118"/>
    </row>
    <row r="431" ht="15.75" customHeight="1">
      <c r="H431" s="118"/>
    </row>
    <row r="432" ht="15.75" customHeight="1">
      <c r="H432" s="118"/>
    </row>
    <row r="433" ht="15.75" customHeight="1">
      <c r="H433" s="118"/>
    </row>
    <row r="434" ht="15.75" customHeight="1">
      <c r="H434" s="118"/>
    </row>
    <row r="435" ht="15.75" customHeight="1">
      <c r="H435" s="118"/>
    </row>
    <row r="436" ht="15.75" customHeight="1">
      <c r="H436" s="118"/>
    </row>
    <row r="437" ht="15.75" customHeight="1">
      <c r="H437" s="118"/>
    </row>
    <row r="438" ht="15.75" customHeight="1">
      <c r="H438" s="118"/>
    </row>
    <row r="439" ht="15.75" customHeight="1">
      <c r="H439" s="118"/>
    </row>
    <row r="440" ht="15.75" customHeight="1">
      <c r="H440" s="118"/>
    </row>
    <row r="441" ht="15.75" customHeight="1">
      <c r="H441" s="118"/>
    </row>
    <row r="442" ht="15.75" customHeight="1">
      <c r="H442" s="118"/>
    </row>
    <row r="443" ht="15.75" customHeight="1">
      <c r="H443" s="118"/>
    </row>
    <row r="444" ht="15.75" customHeight="1">
      <c r="H444" s="118"/>
    </row>
    <row r="445" ht="15.75" customHeight="1">
      <c r="H445" s="118"/>
    </row>
    <row r="446" ht="15.75" customHeight="1">
      <c r="H446" s="118"/>
    </row>
    <row r="447" ht="15.75" customHeight="1">
      <c r="H447" s="118"/>
    </row>
    <row r="448" ht="15.75" customHeight="1">
      <c r="H448" s="118"/>
    </row>
    <row r="449" ht="15.75" customHeight="1">
      <c r="H449" s="118"/>
    </row>
    <row r="450" ht="15.75" customHeight="1">
      <c r="H450" s="118"/>
    </row>
    <row r="451" ht="15.75" customHeight="1">
      <c r="H451" s="118"/>
    </row>
    <row r="452" ht="15.75" customHeight="1">
      <c r="H452" s="118"/>
    </row>
    <row r="453" ht="15.75" customHeight="1">
      <c r="H453" s="118"/>
    </row>
    <row r="454" ht="15.75" customHeight="1">
      <c r="H454" s="118"/>
    </row>
    <row r="455" ht="15.75" customHeight="1">
      <c r="H455" s="118"/>
    </row>
    <row r="456" ht="15.75" customHeight="1">
      <c r="H456" s="118"/>
    </row>
    <row r="457" ht="15.75" customHeight="1">
      <c r="H457" s="118"/>
    </row>
    <row r="458" ht="15.75" customHeight="1">
      <c r="H458" s="118"/>
    </row>
    <row r="459" ht="15.75" customHeight="1">
      <c r="H459" s="118"/>
    </row>
    <row r="460" ht="15.75" customHeight="1">
      <c r="H460" s="118"/>
    </row>
    <row r="461" ht="15.75" customHeight="1">
      <c r="H461" s="118"/>
    </row>
    <row r="462" ht="15.75" customHeight="1">
      <c r="H462" s="118"/>
    </row>
    <row r="463" ht="15.75" customHeight="1">
      <c r="H463" s="118"/>
    </row>
    <row r="464" ht="15.75" customHeight="1">
      <c r="H464" s="118"/>
    </row>
    <row r="465" ht="15.75" customHeight="1">
      <c r="H465" s="118"/>
    </row>
    <row r="466" ht="15.75" customHeight="1">
      <c r="H466" s="118"/>
    </row>
    <row r="467" ht="15.75" customHeight="1">
      <c r="H467" s="118"/>
    </row>
    <row r="468" ht="15.75" customHeight="1">
      <c r="H468" s="118"/>
    </row>
    <row r="469" ht="15.75" customHeight="1">
      <c r="H469" s="118"/>
    </row>
    <row r="470" ht="15.75" customHeight="1">
      <c r="H470" s="118"/>
    </row>
    <row r="471" ht="15.75" customHeight="1">
      <c r="H471" s="118"/>
    </row>
    <row r="472" ht="15.75" customHeight="1">
      <c r="H472" s="118"/>
    </row>
    <row r="473" ht="15.75" customHeight="1">
      <c r="H473" s="118"/>
    </row>
    <row r="474" ht="15.75" customHeight="1">
      <c r="H474" s="118"/>
    </row>
    <row r="475" ht="15.75" customHeight="1">
      <c r="H475" s="118"/>
    </row>
    <row r="476" ht="15.75" customHeight="1">
      <c r="H476" s="118"/>
    </row>
    <row r="477" ht="15.75" customHeight="1">
      <c r="H477" s="118"/>
    </row>
    <row r="478" ht="15.75" customHeight="1">
      <c r="H478" s="118"/>
    </row>
    <row r="479" ht="15.75" customHeight="1">
      <c r="H479" s="118"/>
    </row>
    <row r="480" ht="15.75" customHeight="1">
      <c r="H480" s="118"/>
    </row>
    <row r="481" ht="15.75" customHeight="1">
      <c r="H481" s="118"/>
    </row>
    <row r="482" ht="15.75" customHeight="1">
      <c r="H482" s="118"/>
    </row>
    <row r="483" ht="15.75" customHeight="1">
      <c r="H483" s="118"/>
    </row>
    <row r="484" ht="15.75" customHeight="1">
      <c r="H484" s="118"/>
    </row>
    <row r="485" ht="15.75" customHeight="1">
      <c r="H485" s="118"/>
    </row>
    <row r="486" ht="15.75" customHeight="1">
      <c r="H486" s="118"/>
    </row>
    <row r="487" ht="15.75" customHeight="1">
      <c r="H487" s="118"/>
    </row>
    <row r="488" ht="15.75" customHeight="1">
      <c r="H488" s="118"/>
    </row>
    <row r="489" ht="15.75" customHeight="1">
      <c r="H489" s="118"/>
    </row>
    <row r="490" ht="15.75" customHeight="1">
      <c r="H490" s="118"/>
    </row>
    <row r="491" ht="15.75" customHeight="1">
      <c r="H491" s="118"/>
    </row>
    <row r="492" ht="15.75" customHeight="1">
      <c r="H492" s="118"/>
    </row>
    <row r="493" ht="15.75" customHeight="1">
      <c r="H493" s="118"/>
    </row>
    <row r="494" ht="15.75" customHeight="1">
      <c r="H494" s="118"/>
    </row>
    <row r="495" ht="15.75" customHeight="1">
      <c r="H495" s="118"/>
    </row>
    <row r="496" ht="15.75" customHeight="1">
      <c r="H496" s="118"/>
    </row>
    <row r="497" ht="15.75" customHeight="1">
      <c r="H497" s="118"/>
    </row>
    <row r="498" ht="15.75" customHeight="1">
      <c r="H498" s="118"/>
    </row>
    <row r="499" ht="15.75" customHeight="1">
      <c r="H499" s="118"/>
    </row>
    <row r="500" ht="15.75" customHeight="1">
      <c r="H500" s="118"/>
    </row>
    <row r="501" ht="15.75" customHeight="1">
      <c r="H501" s="118"/>
    </row>
    <row r="502" ht="15.75" customHeight="1">
      <c r="H502" s="118"/>
    </row>
    <row r="503" ht="15.75" customHeight="1">
      <c r="H503" s="118"/>
    </row>
    <row r="504" ht="15.75" customHeight="1">
      <c r="H504" s="118"/>
    </row>
    <row r="505" ht="15.75" customHeight="1">
      <c r="H505" s="118"/>
    </row>
    <row r="506" ht="15.75" customHeight="1">
      <c r="H506" s="118"/>
    </row>
    <row r="507" ht="15.75" customHeight="1">
      <c r="H507" s="118"/>
    </row>
    <row r="508" ht="15.75" customHeight="1">
      <c r="H508" s="118"/>
    </row>
    <row r="509" ht="15.75" customHeight="1">
      <c r="H509" s="118"/>
    </row>
    <row r="510" ht="15.75" customHeight="1">
      <c r="H510" s="118"/>
    </row>
    <row r="511" ht="15.75" customHeight="1">
      <c r="H511" s="118"/>
    </row>
    <row r="512" ht="15.75" customHeight="1">
      <c r="H512" s="118"/>
    </row>
    <row r="513" ht="15.75" customHeight="1">
      <c r="H513" s="118"/>
    </row>
    <row r="514" ht="15.75" customHeight="1">
      <c r="H514" s="118"/>
    </row>
    <row r="515" ht="15.75" customHeight="1">
      <c r="H515" s="118"/>
    </row>
    <row r="516" ht="15.75" customHeight="1">
      <c r="H516" s="118"/>
    </row>
    <row r="517" ht="15.75" customHeight="1">
      <c r="H517" s="118"/>
    </row>
    <row r="518" ht="15.75" customHeight="1">
      <c r="H518" s="118"/>
    </row>
    <row r="519" ht="15.75" customHeight="1">
      <c r="H519" s="118"/>
    </row>
    <row r="520" ht="15.75" customHeight="1">
      <c r="H520" s="118"/>
    </row>
    <row r="521" ht="15.75" customHeight="1">
      <c r="H521" s="118"/>
    </row>
    <row r="522" ht="15.75" customHeight="1">
      <c r="H522" s="118"/>
    </row>
    <row r="523" ht="15.75" customHeight="1">
      <c r="H523" s="118"/>
    </row>
    <row r="524" ht="15.75" customHeight="1">
      <c r="H524" s="118"/>
    </row>
    <row r="525" ht="15.75" customHeight="1">
      <c r="H525" s="118"/>
    </row>
    <row r="526" ht="15.75" customHeight="1">
      <c r="H526" s="118"/>
    </row>
    <row r="527" ht="15.75" customHeight="1">
      <c r="H527" s="118"/>
    </row>
    <row r="528" ht="15.75" customHeight="1">
      <c r="H528" s="118"/>
    </row>
    <row r="529" ht="15.75" customHeight="1">
      <c r="H529" s="118"/>
    </row>
    <row r="530" ht="15.75" customHeight="1">
      <c r="H530" s="118"/>
    </row>
    <row r="531" ht="15.75" customHeight="1">
      <c r="H531" s="118"/>
    </row>
    <row r="532" ht="15.75" customHeight="1">
      <c r="H532" s="118"/>
    </row>
    <row r="533" ht="15.75" customHeight="1">
      <c r="H533" s="118"/>
    </row>
    <row r="534" ht="15.75" customHeight="1">
      <c r="H534" s="118"/>
    </row>
    <row r="535" ht="15.75" customHeight="1">
      <c r="H535" s="118"/>
    </row>
    <row r="536" ht="15.75" customHeight="1">
      <c r="H536" s="118"/>
    </row>
    <row r="537" ht="15.75" customHeight="1">
      <c r="H537" s="118"/>
    </row>
    <row r="538" ht="15.75" customHeight="1">
      <c r="H538" s="118"/>
    </row>
    <row r="539" ht="15.75" customHeight="1">
      <c r="H539" s="118"/>
    </row>
    <row r="540" ht="15.75" customHeight="1">
      <c r="H540" s="118"/>
    </row>
    <row r="541" ht="15.75" customHeight="1">
      <c r="H541" s="118"/>
    </row>
    <row r="542" ht="15.75" customHeight="1">
      <c r="H542" s="118"/>
    </row>
    <row r="543" ht="15.75" customHeight="1">
      <c r="H543" s="118"/>
    </row>
    <row r="544" ht="15.75" customHeight="1">
      <c r="H544" s="118"/>
    </row>
    <row r="545" ht="15.75" customHeight="1">
      <c r="H545" s="118"/>
    </row>
    <row r="546" ht="15.75" customHeight="1">
      <c r="H546" s="118"/>
    </row>
    <row r="547" ht="15.75" customHeight="1">
      <c r="H547" s="118"/>
    </row>
    <row r="548" ht="15.75" customHeight="1">
      <c r="H548" s="118"/>
    </row>
    <row r="549" ht="15.75" customHeight="1">
      <c r="H549" s="118"/>
    </row>
    <row r="550" ht="15.75" customHeight="1">
      <c r="H550" s="118"/>
    </row>
    <row r="551" ht="15.75" customHeight="1">
      <c r="H551" s="118"/>
    </row>
    <row r="552" ht="15.75" customHeight="1">
      <c r="H552" s="118"/>
    </row>
    <row r="553" ht="15.75" customHeight="1">
      <c r="H553" s="118"/>
    </row>
    <row r="554" ht="15.75" customHeight="1">
      <c r="H554" s="118"/>
    </row>
    <row r="555" ht="15.75" customHeight="1">
      <c r="H555" s="118"/>
    </row>
    <row r="556" ht="15.75" customHeight="1">
      <c r="H556" s="118"/>
    </row>
    <row r="557" ht="15.75" customHeight="1">
      <c r="H557" s="118"/>
    </row>
    <row r="558" ht="15.75" customHeight="1">
      <c r="H558" s="118"/>
    </row>
    <row r="559" ht="15.75" customHeight="1">
      <c r="H559" s="118"/>
    </row>
    <row r="560" ht="15.75" customHeight="1">
      <c r="H560" s="118"/>
    </row>
    <row r="561" ht="15.75" customHeight="1">
      <c r="H561" s="118"/>
    </row>
    <row r="562" ht="15.75" customHeight="1">
      <c r="H562" s="118"/>
    </row>
    <row r="563" ht="15.75" customHeight="1">
      <c r="H563" s="118"/>
    </row>
    <row r="564" ht="15.75" customHeight="1">
      <c r="H564" s="118"/>
    </row>
    <row r="565" ht="15.75" customHeight="1">
      <c r="H565" s="118"/>
    </row>
    <row r="566" ht="15.75" customHeight="1">
      <c r="H566" s="118"/>
    </row>
    <row r="567" ht="15.75" customHeight="1">
      <c r="H567" s="118"/>
    </row>
    <row r="568" ht="15.75" customHeight="1">
      <c r="H568" s="118"/>
    </row>
    <row r="569" ht="15.75" customHeight="1">
      <c r="H569" s="118"/>
    </row>
    <row r="570" ht="15.75" customHeight="1">
      <c r="H570" s="118"/>
    </row>
    <row r="571" ht="15.75" customHeight="1">
      <c r="H571" s="118"/>
    </row>
    <row r="572" ht="15.75" customHeight="1">
      <c r="H572" s="118"/>
    </row>
    <row r="573" ht="15.75" customHeight="1">
      <c r="H573" s="118"/>
    </row>
    <row r="574" ht="15.75" customHeight="1">
      <c r="H574" s="118"/>
    </row>
    <row r="575" ht="15.75" customHeight="1">
      <c r="H575" s="118"/>
    </row>
    <row r="576" ht="15.75" customHeight="1">
      <c r="H576" s="118"/>
    </row>
    <row r="577" ht="15.75" customHeight="1">
      <c r="H577" s="118"/>
    </row>
    <row r="578" ht="15.75" customHeight="1">
      <c r="H578" s="118"/>
    </row>
    <row r="579" ht="15.75" customHeight="1">
      <c r="H579" s="118"/>
    </row>
    <row r="580" ht="15.75" customHeight="1">
      <c r="H580" s="118"/>
    </row>
    <row r="581" ht="15.75" customHeight="1">
      <c r="H581" s="118"/>
    </row>
    <row r="582" ht="15.75" customHeight="1">
      <c r="H582" s="118"/>
    </row>
    <row r="583" ht="15.75" customHeight="1">
      <c r="H583" s="118"/>
    </row>
    <row r="584" ht="15.75" customHeight="1">
      <c r="H584" s="118"/>
    </row>
    <row r="585" ht="15.75" customHeight="1">
      <c r="H585" s="118"/>
    </row>
    <row r="586" ht="15.75" customHeight="1">
      <c r="H586" s="118"/>
    </row>
    <row r="587" ht="15.75" customHeight="1">
      <c r="H587" s="118"/>
    </row>
    <row r="588" ht="15.75" customHeight="1">
      <c r="H588" s="118"/>
    </row>
    <row r="589" ht="15.75" customHeight="1">
      <c r="H589" s="118"/>
    </row>
    <row r="590" ht="15.75" customHeight="1">
      <c r="H590" s="118"/>
    </row>
    <row r="591" ht="15.75" customHeight="1">
      <c r="H591" s="118"/>
    </row>
    <row r="592" ht="15.75" customHeight="1">
      <c r="H592" s="118"/>
    </row>
    <row r="593" ht="15.75" customHeight="1">
      <c r="H593" s="118"/>
    </row>
    <row r="594" ht="15.75" customHeight="1">
      <c r="H594" s="118"/>
    </row>
    <row r="595" ht="15.75" customHeight="1">
      <c r="H595" s="118"/>
    </row>
    <row r="596" ht="15.75" customHeight="1">
      <c r="H596" s="118"/>
    </row>
    <row r="597" ht="15.75" customHeight="1">
      <c r="H597" s="118"/>
    </row>
    <row r="598" ht="15.75" customHeight="1">
      <c r="H598" s="118"/>
    </row>
    <row r="599" ht="15.75" customHeight="1">
      <c r="H599" s="118"/>
    </row>
    <row r="600" ht="15.75" customHeight="1">
      <c r="H600" s="118"/>
    </row>
    <row r="601" ht="15.75" customHeight="1">
      <c r="H601" s="118"/>
    </row>
    <row r="602" ht="15.75" customHeight="1">
      <c r="H602" s="118"/>
    </row>
    <row r="603" ht="15.75" customHeight="1">
      <c r="H603" s="118"/>
    </row>
    <row r="604" ht="15.75" customHeight="1">
      <c r="H604" s="118"/>
    </row>
    <row r="605" ht="15.75" customHeight="1">
      <c r="H605" s="118"/>
    </row>
    <row r="606" ht="15.75" customHeight="1">
      <c r="H606" s="118"/>
    </row>
    <row r="607" ht="15.75" customHeight="1">
      <c r="H607" s="118"/>
    </row>
    <row r="608" ht="15.75" customHeight="1">
      <c r="H608" s="118"/>
    </row>
    <row r="609" ht="15.75" customHeight="1">
      <c r="H609" s="118"/>
    </row>
    <row r="610" ht="15.75" customHeight="1">
      <c r="H610" s="118"/>
    </row>
    <row r="611" ht="15.75" customHeight="1">
      <c r="H611" s="118"/>
    </row>
    <row r="612" ht="15.75" customHeight="1">
      <c r="H612" s="118"/>
    </row>
    <row r="613" ht="15.75" customHeight="1">
      <c r="H613" s="118"/>
    </row>
    <row r="614" ht="15.75" customHeight="1">
      <c r="H614" s="118"/>
    </row>
    <row r="615" ht="15.75" customHeight="1">
      <c r="H615" s="118"/>
    </row>
    <row r="616" ht="15.75" customHeight="1">
      <c r="H616" s="118"/>
    </row>
    <row r="617" ht="15.75" customHeight="1">
      <c r="H617" s="118"/>
    </row>
    <row r="618" ht="15.75" customHeight="1">
      <c r="H618" s="118"/>
    </row>
    <row r="619" ht="15.75" customHeight="1">
      <c r="H619" s="118"/>
    </row>
    <row r="620" ht="15.75" customHeight="1">
      <c r="H620" s="118"/>
    </row>
    <row r="621" ht="15.75" customHeight="1">
      <c r="H621" s="118"/>
    </row>
    <row r="622" ht="15.75" customHeight="1">
      <c r="H622" s="118"/>
    </row>
    <row r="623" ht="15.75" customHeight="1">
      <c r="H623" s="118"/>
    </row>
    <row r="624" ht="15.75" customHeight="1">
      <c r="H624" s="118"/>
    </row>
    <row r="625" ht="15.75" customHeight="1">
      <c r="H625" s="118"/>
    </row>
    <row r="626" ht="15.75" customHeight="1">
      <c r="H626" s="118"/>
    </row>
    <row r="627" ht="15.75" customHeight="1">
      <c r="H627" s="118"/>
    </row>
    <row r="628" ht="15.75" customHeight="1">
      <c r="H628" s="118"/>
    </row>
    <row r="629" ht="15.75" customHeight="1">
      <c r="H629" s="118"/>
    </row>
    <row r="630" ht="15.75" customHeight="1">
      <c r="H630" s="118"/>
    </row>
    <row r="631" ht="15.75" customHeight="1">
      <c r="H631" s="118"/>
    </row>
    <row r="632" ht="15.75" customHeight="1">
      <c r="H632" s="118"/>
    </row>
    <row r="633" ht="15.75" customHeight="1">
      <c r="H633" s="118"/>
    </row>
    <row r="634" ht="15.75" customHeight="1">
      <c r="H634" s="118"/>
    </row>
    <row r="635" ht="15.75" customHeight="1">
      <c r="H635" s="118"/>
    </row>
    <row r="636" ht="15.75" customHeight="1">
      <c r="H636" s="118"/>
    </row>
    <row r="637" ht="15.75" customHeight="1">
      <c r="H637" s="118"/>
    </row>
    <row r="638" ht="15.75" customHeight="1">
      <c r="H638" s="118"/>
    </row>
    <row r="639" ht="15.75" customHeight="1">
      <c r="H639" s="118"/>
    </row>
    <row r="640" ht="15.75" customHeight="1">
      <c r="H640" s="118"/>
    </row>
    <row r="641" ht="15.75" customHeight="1">
      <c r="H641" s="118"/>
    </row>
    <row r="642" ht="15.75" customHeight="1">
      <c r="H642" s="118"/>
    </row>
    <row r="643" ht="15.75" customHeight="1">
      <c r="H643" s="118"/>
    </row>
    <row r="644" ht="15.75" customHeight="1">
      <c r="H644" s="118"/>
    </row>
    <row r="645" ht="15.75" customHeight="1">
      <c r="H645" s="118"/>
    </row>
    <row r="646" ht="15.75" customHeight="1">
      <c r="H646" s="118"/>
    </row>
    <row r="647" ht="15.75" customHeight="1">
      <c r="H647" s="118"/>
    </row>
    <row r="648" ht="15.75" customHeight="1">
      <c r="H648" s="118"/>
    </row>
    <row r="649" ht="15.75" customHeight="1">
      <c r="H649" s="118"/>
    </row>
    <row r="650" ht="15.75" customHeight="1">
      <c r="H650" s="118"/>
    </row>
    <row r="651" ht="15.75" customHeight="1">
      <c r="H651" s="118"/>
    </row>
    <row r="652" ht="15.75" customHeight="1">
      <c r="H652" s="118"/>
    </row>
    <row r="653" ht="15.75" customHeight="1">
      <c r="H653" s="118"/>
    </row>
    <row r="654" ht="15.75" customHeight="1">
      <c r="H654" s="118"/>
    </row>
    <row r="655" ht="15.75" customHeight="1">
      <c r="H655" s="118"/>
    </row>
    <row r="656" ht="15.75" customHeight="1">
      <c r="H656" s="118"/>
    </row>
    <row r="657" ht="15.75" customHeight="1">
      <c r="H657" s="118"/>
    </row>
    <row r="658" ht="15.75" customHeight="1">
      <c r="H658" s="118"/>
    </row>
    <row r="659" ht="15.75" customHeight="1">
      <c r="H659" s="118"/>
    </row>
    <row r="660" ht="15.75" customHeight="1">
      <c r="H660" s="118"/>
    </row>
    <row r="661" ht="15.75" customHeight="1">
      <c r="H661" s="118"/>
    </row>
    <row r="662" ht="15.75" customHeight="1">
      <c r="H662" s="118"/>
    </row>
    <row r="663" ht="15.75" customHeight="1">
      <c r="H663" s="118"/>
    </row>
    <row r="664" ht="15.75" customHeight="1">
      <c r="H664" s="118"/>
    </row>
    <row r="665" ht="15.75" customHeight="1">
      <c r="H665" s="118"/>
    </row>
    <row r="666" ht="15.75" customHeight="1">
      <c r="H666" s="118"/>
    </row>
    <row r="667" ht="15.75" customHeight="1">
      <c r="H667" s="118"/>
    </row>
    <row r="668" ht="15.75" customHeight="1">
      <c r="H668" s="118"/>
    </row>
    <row r="669" ht="15.75" customHeight="1">
      <c r="H669" s="118"/>
    </row>
    <row r="670" ht="15.75" customHeight="1">
      <c r="H670" s="118"/>
    </row>
    <row r="671" ht="15.75" customHeight="1">
      <c r="H671" s="118"/>
    </row>
    <row r="672" ht="15.75" customHeight="1">
      <c r="H672" s="118"/>
    </row>
    <row r="673" ht="15.75" customHeight="1">
      <c r="H673" s="118"/>
    </row>
    <row r="674" ht="15.75" customHeight="1">
      <c r="H674" s="118"/>
    </row>
    <row r="675" ht="15.75" customHeight="1">
      <c r="H675" s="118"/>
    </row>
    <row r="676" ht="15.75" customHeight="1">
      <c r="H676" s="118"/>
    </row>
    <row r="677" ht="15.75" customHeight="1">
      <c r="H677" s="118"/>
    </row>
    <row r="678" ht="15.75" customHeight="1">
      <c r="H678" s="118"/>
    </row>
    <row r="679" ht="15.75" customHeight="1">
      <c r="H679" s="118"/>
    </row>
    <row r="680" ht="15.75" customHeight="1">
      <c r="H680" s="118"/>
    </row>
    <row r="681" ht="15.75" customHeight="1">
      <c r="H681" s="118"/>
    </row>
    <row r="682" ht="15.75" customHeight="1">
      <c r="H682" s="118"/>
    </row>
    <row r="683" ht="15.75" customHeight="1">
      <c r="H683" s="118"/>
    </row>
    <row r="684" ht="15.75" customHeight="1">
      <c r="H684" s="118"/>
    </row>
    <row r="685" ht="15.75" customHeight="1">
      <c r="H685" s="118"/>
    </row>
    <row r="686" ht="15.75" customHeight="1">
      <c r="H686" s="118"/>
    </row>
    <row r="687" ht="15.75" customHeight="1">
      <c r="H687" s="118"/>
    </row>
    <row r="688" ht="15.75" customHeight="1">
      <c r="H688" s="118"/>
    </row>
    <row r="689" ht="15.75" customHeight="1">
      <c r="H689" s="118"/>
    </row>
    <row r="690" ht="15.75" customHeight="1">
      <c r="H690" s="118"/>
    </row>
    <row r="691" ht="15.75" customHeight="1">
      <c r="H691" s="118"/>
    </row>
    <row r="692" ht="15.75" customHeight="1">
      <c r="H692" s="118"/>
    </row>
    <row r="693" ht="15.75" customHeight="1">
      <c r="H693" s="118"/>
    </row>
    <row r="694" ht="15.75" customHeight="1">
      <c r="H694" s="118"/>
    </row>
    <row r="695" ht="15.75" customHeight="1">
      <c r="H695" s="118"/>
    </row>
    <row r="696" ht="15.75" customHeight="1">
      <c r="H696" s="118"/>
    </row>
    <row r="697" ht="15.75" customHeight="1">
      <c r="H697" s="118"/>
    </row>
    <row r="698" ht="15.75" customHeight="1">
      <c r="H698" s="118"/>
    </row>
    <row r="699" ht="15.75" customHeight="1">
      <c r="H699" s="118"/>
    </row>
    <row r="700" ht="15.75" customHeight="1">
      <c r="H700" s="118"/>
    </row>
    <row r="701" ht="15.75" customHeight="1">
      <c r="H701" s="118"/>
    </row>
    <row r="702" ht="15.75" customHeight="1">
      <c r="H702" s="118"/>
    </row>
    <row r="703" ht="15.75" customHeight="1">
      <c r="H703" s="118"/>
    </row>
    <row r="704" ht="15.75" customHeight="1">
      <c r="H704" s="118"/>
    </row>
    <row r="705" ht="15.75" customHeight="1">
      <c r="H705" s="118"/>
    </row>
    <row r="706" ht="15.75" customHeight="1">
      <c r="H706" s="118"/>
    </row>
    <row r="707" ht="15.75" customHeight="1">
      <c r="H707" s="118"/>
    </row>
    <row r="708" ht="15.75" customHeight="1">
      <c r="H708" s="118"/>
    </row>
    <row r="709" ht="15.75" customHeight="1">
      <c r="H709" s="118"/>
    </row>
    <row r="710" ht="15.75" customHeight="1">
      <c r="H710" s="118"/>
    </row>
    <row r="711" ht="15.75" customHeight="1">
      <c r="H711" s="118"/>
    </row>
    <row r="712" ht="15.75" customHeight="1">
      <c r="H712" s="118"/>
    </row>
    <row r="713" ht="15.75" customHeight="1">
      <c r="H713" s="118"/>
    </row>
    <row r="714" ht="15.75" customHeight="1">
      <c r="H714" s="118"/>
    </row>
    <row r="715" ht="15.75" customHeight="1">
      <c r="H715" s="118"/>
    </row>
    <row r="716" ht="15.75" customHeight="1">
      <c r="H716" s="118"/>
    </row>
    <row r="717" ht="15.75" customHeight="1">
      <c r="H717" s="118"/>
    </row>
    <row r="718" ht="15.75" customHeight="1">
      <c r="H718" s="118"/>
    </row>
    <row r="719" ht="15.75" customHeight="1">
      <c r="H719" s="118"/>
    </row>
    <row r="720" ht="15.75" customHeight="1">
      <c r="H720" s="118"/>
    </row>
    <row r="721" ht="15.75" customHeight="1">
      <c r="H721" s="118"/>
    </row>
    <row r="722" ht="15.75" customHeight="1">
      <c r="H722" s="118"/>
    </row>
    <row r="723" ht="15.75" customHeight="1">
      <c r="H723" s="118"/>
    </row>
    <row r="724" ht="15.75" customHeight="1">
      <c r="H724" s="118"/>
    </row>
    <row r="725" ht="15.75" customHeight="1">
      <c r="H725" s="118"/>
    </row>
    <row r="726" ht="15.75" customHeight="1">
      <c r="H726" s="118"/>
    </row>
    <row r="727" ht="15.75" customHeight="1">
      <c r="H727" s="118"/>
    </row>
    <row r="728" ht="15.75" customHeight="1">
      <c r="H728" s="118"/>
    </row>
    <row r="729" ht="15.75" customHeight="1">
      <c r="H729" s="118"/>
    </row>
    <row r="730" ht="15.75" customHeight="1">
      <c r="H730" s="118"/>
    </row>
    <row r="731" ht="15.75" customHeight="1">
      <c r="H731" s="118"/>
    </row>
    <row r="732" ht="15.75" customHeight="1">
      <c r="H732" s="118"/>
    </row>
    <row r="733" ht="15.75" customHeight="1">
      <c r="H733" s="118"/>
    </row>
    <row r="734" ht="15.75" customHeight="1">
      <c r="H734" s="118"/>
    </row>
    <row r="735" ht="15.75" customHeight="1">
      <c r="H735" s="118"/>
    </row>
    <row r="736" ht="15.75" customHeight="1">
      <c r="H736" s="118"/>
    </row>
    <row r="737" ht="15.75" customHeight="1">
      <c r="H737" s="118"/>
    </row>
    <row r="738" ht="15.75" customHeight="1">
      <c r="H738" s="118"/>
    </row>
    <row r="739" ht="15.75" customHeight="1">
      <c r="H739" s="118"/>
    </row>
    <row r="740" ht="15.75" customHeight="1">
      <c r="H740" s="118"/>
    </row>
    <row r="741" ht="15.75" customHeight="1">
      <c r="H741" s="118"/>
    </row>
    <row r="742" ht="15.75" customHeight="1">
      <c r="H742" s="118"/>
    </row>
    <row r="743" ht="15.75" customHeight="1">
      <c r="H743" s="118"/>
    </row>
    <row r="744" ht="15.75" customHeight="1">
      <c r="H744" s="118"/>
    </row>
    <row r="745" ht="15.75" customHeight="1">
      <c r="H745" s="118"/>
    </row>
    <row r="746" ht="15.75" customHeight="1">
      <c r="H746" s="118"/>
    </row>
    <row r="747" ht="15.75" customHeight="1">
      <c r="H747" s="118"/>
    </row>
    <row r="748" ht="15.75" customHeight="1">
      <c r="H748" s="118"/>
    </row>
    <row r="749" ht="15.75" customHeight="1">
      <c r="H749" s="118"/>
    </row>
    <row r="750" ht="15.75" customHeight="1">
      <c r="H750" s="118"/>
    </row>
    <row r="751" ht="15.75" customHeight="1">
      <c r="H751" s="118"/>
    </row>
    <row r="752" ht="15.75" customHeight="1">
      <c r="H752" s="118"/>
    </row>
    <row r="753" ht="15.75" customHeight="1">
      <c r="H753" s="118"/>
    </row>
    <row r="754" ht="15.75" customHeight="1">
      <c r="H754" s="118"/>
    </row>
    <row r="755" ht="15.75" customHeight="1">
      <c r="H755" s="118"/>
    </row>
    <row r="756" ht="15.75" customHeight="1">
      <c r="H756" s="118"/>
    </row>
    <row r="757" ht="15.75" customHeight="1">
      <c r="H757" s="118"/>
    </row>
    <row r="758" ht="15.75" customHeight="1">
      <c r="H758" s="118"/>
    </row>
    <row r="759" ht="15.75" customHeight="1">
      <c r="H759" s="118"/>
    </row>
    <row r="760" ht="15.75" customHeight="1">
      <c r="H760" s="118"/>
    </row>
    <row r="761" ht="15.75" customHeight="1">
      <c r="H761" s="118"/>
    </row>
    <row r="762" ht="15.75" customHeight="1">
      <c r="H762" s="118"/>
    </row>
    <row r="763" ht="15.75" customHeight="1">
      <c r="H763" s="118"/>
    </row>
    <row r="764" ht="15.75" customHeight="1">
      <c r="H764" s="118"/>
    </row>
    <row r="765" ht="15.75" customHeight="1">
      <c r="H765" s="118"/>
    </row>
    <row r="766" ht="15.75" customHeight="1">
      <c r="H766" s="118"/>
    </row>
    <row r="767" ht="15.75" customHeight="1">
      <c r="H767" s="118"/>
    </row>
    <row r="768" ht="15.75" customHeight="1">
      <c r="H768" s="118"/>
    </row>
    <row r="769" ht="15.75" customHeight="1">
      <c r="H769" s="118"/>
    </row>
    <row r="770" ht="15.75" customHeight="1">
      <c r="H770" s="118"/>
    </row>
    <row r="771" ht="15.75" customHeight="1">
      <c r="H771" s="118"/>
    </row>
    <row r="772" ht="15.75" customHeight="1">
      <c r="H772" s="118"/>
    </row>
    <row r="773" ht="15.75" customHeight="1">
      <c r="H773" s="118"/>
    </row>
    <row r="774" ht="15.75" customHeight="1">
      <c r="H774" s="118"/>
    </row>
    <row r="775" ht="15.75" customHeight="1">
      <c r="H775" s="118"/>
    </row>
    <row r="776" ht="15.75" customHeight="1">
      <c r="H776" s="118"/>
    </row>
    <row r="777" ht="15.75" customHeight="1">
      <c r="H777" s="118"/>
    </row>
    <row r="778" ht="15.75" customHeight="1">
      <c r="H778" s="118"/>
    </row>
    <row r="779" ht="15.75" customHeight="1">
      <c r="H779" s="118"/>
    </row>
    <row r="780" ht="15.75" customHeight="1">
      <c r="H780" s="118"/>
    </row>
    <row r="781" ht="15.75" customHeight="1">
      <c r="H781" s="118"/>
    </row>
    <row r="782" ht="15.75" customHeight="1">
      <c r="H782" s="118"/>
    </row>
    <row r="783" ht="15.75" customHeight="1">
      <c r="H783" s="118"/>
    </row>
    <row r="784" ht="15.75" customHeight="1">
      <c r="H784" s="118"/>
    </row>
    <row r="785" ht="15.75" customHeight="1">
      <c r="H785" s="118"/>
    </row>
    <row r="786" ht="15.75" customHeight="1">
      <c r="H786" s="118"/>
    </row>
    <row r="787" ht="15.75" customHeight="1">
      <c r="H787" s="118"/>
    </row>
    <row r="788" ht="15.75" customHeight="1">
      <c r="H788" s="118"/>
    </row>
    <row r="789" ht="15.75" customHeight="1">
      <c r="H789" s="118"/>
    </row>
    <row r="790" ht="15.75" customHeight="1">
      <c r="H790" s="118"/>
    </row>
    <row r="791" ht="15.75" customHeight="1">
      <c r="H791" s="118"/>
    </row>
    <row r="792" ht="15.75" customHeight="1">
      <c r="H792" s="118"/>
    </row>
    <row r="793" ht="15.75" customHeight="1">
      <c r="H793" s="118"/>
    </row>
    <row r="794" ht="15.75" customHeight="1">
      <c r="H794" s="118"/>
    </row>
    <row r="795" ht="15.75" customHeight="1">
      <c r="H795" s="118"/>
    </row>
    <row r="796" ht="15.75" customHeight="1">
      <c r="H796" s="118"/>
    </row>
    <row r="797" ht="15.75" customHeight="1">
      <c r="H797" s="118"/>
    </row>
    <row r="798" ht="15.75" customHeight="1">
      <c r="H798" s="118"/>
    </row>
    <row r="799" ht="15.75" customHeight="1">
      <c r="H799" s="118"/>
    </row>
    <row r="800" ht="15.75" customHeight="1">
      <c r="H800" s="118"/>
    </row>
    <row r="801" ht="15.75" customHeight="1">
      <c r="H801" s="118"/>
    </row>
    <row r="802" ht="15.75" customHeight="1">
      <c r="H802" s="118"/>
    </row>
    <row r="803" ht="15.75" customHeight="1">
      <c r="H803" s="118"/>
    </row>
    <row r="804" ht="15.75" customHeight="1">
      <c r="H804" s="118"/>
    </row>
    <row r="805" ht="15.75" customHeight="1">
      <c r="H805" s="118"/>
    </row>
    <row r="806" ht="15.75" customHeight="1">
      <c r="H806" s="118"/>
    </row>
    <row r="807" ht="15.75" customHeight="1">
      <c r="H807" s="118"/>
    </row>
    <row r="808" ht="15.75" customHeight="1">
      <c r="H808" s="118"/>
    </row>
    <row r="809" ht="15.75" customHeight="1">
      <c r="H809" s="118"/>
    </row>
    <row r="810" ht="15.75" customHeight="1">
      <c r="H810" s="118"/>
    </row>
    <row r="811" ht="15.75" customHeight="1">
      <c r="H811" s="118"/>
    </row>
    <row r="812" ht="15.75" customHeight="1">
      <c r="H812" s="118"/>
    </row>
    <row r="813" ht="15.75" customHeight="1">
      <c r="H813" s="118"/>
    </row>
    <row r="814" ht="15.75" customHeight="1">
      <c r="H814" s="118"/>
    </row>
    <row r="815" ht="15.75" customHeight="1">
      <c r="H815" s="118"/>
    </row>
    <row r="816" ht="15.75" customHeight="1">
      <c r="H816" s="118"/>
    </row>
    <row r="817" ht="15.75" customHeight="1">
      <c r="H817" s="118"/>
    </row>
    <row r="818" ht="15.75" customHeight="1">
      <c r="H818" s="118"/>
    </row>
    <row r="819" ht="15.75" customHeight="1">
      <c r="H819" s="118"/>
    </row>
    <row r="820" ht="15.75" customHeight="1">
      <c r="H820" s="118"/>
    </row>
    <row r="821" ht="15.75" customHeight="1">
      <c r="H821" s="118"/>
    </row>
    <row r="822" ht="15.75" customHeight="1">
      <c r="H822" s="118"/>
    </row>
    <row r="823" ht="15.75" customHeight="1">
      <c r="H823" s="118"/>
    </row>
    <row r="824" ht="15.75" customHeight="1">
      <c r="H824" s="118"/>
    </row>
    <row r="825" ht="15.75" customHeight="1">
      <c r="H825" s="118"/>
    </row>
    <row r="826" ht="15.75" customHeight="1">
      <c r="H826" s="118"/>
    </row>
    <row r="827" ht="15.75" customHeight="1">
      <c r="H827" s="118"/>
    </row>
    <row r="828" ht="15.75" customHeight="1">
      <c r="H828" s="118"/>
    </row>
    <row r="829" ht="15.75" customHeight="1">
      <c r="H829" s="118"/>
    </row>
    <row r="830" ht="15.75" customHeight="1">
      <c r="H830" s="118"/>
    </row>
    <row r="831" ht="15.75" customHeight="1">
      <c r="H831" s="118"/>
    </row>
    <row r="832" ht="15.75" customHeight="1">
      <c r="H832" s="118"/>
    </row>
    <row r="833" ht="15.75" customHeight="1">
      <c r="H833" s="118"/>
    </row>
    <row r="834" ht="15.75" customHeight="1">
      <c r="H834" s="118"/>
    </row>
    <row r="835" ht="15.75" customHeight="1">
      <c r="H835" s="118"/>
    </row>
    <row r="836" ht="15.75" customHeight="1">
      <c r="H836" s="118"/>
    </row>
    <row r="837" ht="15.75" customHeight="1">
      <c r="H837" s="118"/>
    </row>
    <row r="838" ht="15.75" customHeight="1">
      <c r="H838" s="118"/>
    </row>
    <row r="839" ht="15.75" customHeight="1">
      <c r="H839" s="118"/>
    </row>
    <row r="840" ht="15.75" customHeight="1">
      <c r="H840" s="118"/>
    </row>
    <row r="841" ht="15.75" customHeight="1">
      <c r="H841" s="118"/>
    </row>
    <row r="842" ht="15.75" customHeight="1">
      <c r="H842" s="118"/>
    </row>
    <row r="843" ht="15.75" customHeight="1">
      <c r="H843" s="118"/>
    </row>
    <row r="844" ht="15.75" customHeight="1">
      <c r="H844" s="118"/>
    </row>
    <row r="845" ht="15.75" customHeight="1">
      <c r="H845" s="118"/>
    </row>
    <row r="846" ht="15.75" customHeight="1">
      <c r="H846" s="118"/>
    </row>
    <row r="847" ht="15.75" customHeight="1">
      <c r="H847" s="118"/>
    </row>
    <row r="848" ht="15.75" customHeight="1">
      <c r="H848" s="118"/>
    </row>
    <row r="849" ht="15.75" customHeight="1">
      <c r="H849" s="118"/>
    </row>
    <row r="850" ht="15.75" customHeight="1">
      <c r="H850" s="118"/>
    </row>
    <row r="851" ht="15.75" customHeight="1">
      <c r="H851" s="118"/>
    </row>
    <row r="852" ht="15.75" customHeight="1">
      <c r="H852" s="118"/>
    </row>
    <row r="853" ht="15.75" customHeight="1">
      <c r="H853" s="118"/>
    </row>
    <row r="854" ht="15.75" customHeight="1">
      <c r="H854" s="118"/>
    </row>
    <row r="855" ht="15.75" customHeight="1">
      <c r="H855" s="118"/>
    </row>
    <row r="856" ht="15.75" customHeight="1">
      <c r="H856" s="118"/>
    </row>
    <row r="857" ht="15.75" customHeight="1">
      <c r="H857" s="118"/>
    </row>
    <row r="858" ht="15.75" customHeight="1">
      <c r="H858" s="118"/>
    </row>
    <row r="859" ht="15.75" customHeight="1">
      <c r="H859" s="118"/>
    </row>
    <row r="860" ht="15.75" customHeight="1">
      <c r="H860" s="118"/>
    </row>
    <row r="861" ht="15.75" customHeight="1">
      <c r="H861" s="118"/>
    </row>
    <row r="862" ht="15.75" customHeight="1">
      <c r="H862" s="118"/>
    </row>
    <row r="863" ht="15.75" customHeight="1">
      <c r="H863" s="118"/>
    </row>
    <row r="864" ht="15.75" customHeight="1">
      <c r="H864" s="118"/>
    </row>
    <row r="865" ht="15.75" customHeight="1">
      <c r="H865" s="118"/>
    </row>
    <row r="866" ht="15.75" customHeight="1">
      <c r="H866" s="118"/>
    </row>
    <row r="867" ht="15.75" customHeight="1">
      <c r="H867" s="118"/>
    </row>
    <row r="868" ht="15.75" customHeight="1">
      <c r="H868" s="118"/>
    </row>
    <row r="869" ht="15.75" customHeight="1">
      <c r="H869" s="118"/>
    </row>
    <row r="870" ht="15.75" customHeight="1">
      <c r="H870" s="118"/>
    </row>
    <row r="871" ht="15.75" customHeight="1">
      <c r="H871" s="118"/>
    </row>
    <row r="872" ht="15.75" customHeight="1">
      <c r="H872" s="118"/>
    </row>
    <row r="873" ht="15.75" customHeight="1">
      <c r="H873" s="118"/>
    </row>
    <row r="874" ht="15.75" customHeight="1">
      <c r="H874" s="118"/>
    </row>
    <row r="875" ht="15.75" customHeight="1">
      <c r="H875" s="118"/>
    </row>
    <row r="876" ht="15.75" customHeight="1">
      <c r="H876" s="118"/>
    </row>
    <row r="877" ht="15.75" customHeight="1">
      <c r="H877" s="118"/>
    </row>
    <row r="878" ht="15.75" customHeight="1">
      <c r="H878" s="118"/>
    </row>
    <row r="879" ht="15.75" customHeight="1">
      <c r="H879" s="118"/>
    </row>
    <row r="880" ht="15.75" customHeight="1">
      <c r="H880" s="118"/>
    </row>
    <row r="881" ht="15.75" customHeight="1">
      <c r="H881" s="118"/>
    </row>
    <row r="882" ht="15.75" customHeight="1">
      <c r="H882" s="118"/>
    </row>
    <row r="883" ht="15.75" customHeight="1">
      <c r="H883" s="118"/>
    </row>
    <row r="884" ht="15.75" customHeight="1">
      <c r="H884" s="118"/>
    </row>
    <row r="885" ht="15.75" customHeight="1">
      <c r="H885" s="118"/>
    </row>
    <row r="886" ht="15.75" customHeight="1">
      <c r="H886" s="118"/>
    </row>
    <row r="887" ht="15.75" customHeight="1">
      <c r="H887" s="118"/>
    </row>
    <row r="888" ht="15.75" customHeight="1">
      <c r="H888" s="118"/>
    </row>
    <row r="889" ht="15.75" customHeight="1">
      <c r="H889" s="118"/>
    </row>
    <row r="890" ht="15.75" customHeight="1">
      <c r="H890" s="118"/>
    </row>
    <row r="891" ht="15.75" customHeight="1">
      <c r="H891" s="118"/>
    </row>
    <row r="892" ht="15.75" customHeight="1">
      <c r="H892" s="118"/>
    </row>
    <row r="893" ht="15.75" customHeight="1">
      <c r="H893" s="118"/>
    </row>
    <row r="894" ht="15.75" customHeight="1">
      <c r="H894" s="118"/>
    </row>
    <row r="895" ht="15.75" customHeight="1">
      <c r="H895" s="118"/>
    </row>
    <row r="896" ht="15.75" customHeight="1">
      <c r="H896" s="118"/>
    </row>
    <row r="897" ht="15.75" customHeight="1">
      <c r="H897" s="118"/>
    </row>
    <row r="898" ht="15.75" customHeight="1">
      <c r="H898" s="118"/>
    </row>
    <row r="899" ht="15.75" customHeight="1">
      <c r="H899" s="118"/>
    </row>
    <row r="900" ht="15.75" customHeight="1">
      <c r="H900" s="118"/>
    </row>
    <row r="901" ht="15.75" customHeight="1">
      <c r="H901" s="118"/>
    </row>
    <row r="902" ht="15.75" customHeight="1">
      <c r="H902" s="118"/>
    </row>
    <row r="903" ht="15.75" customHeight="1">
      <c r="H903" s="118"/>
    </row>
    <row r="904" ht="15.75" customHeight="1">
      <c r="H904" s="118"/>
    </row>
    <row r="905" ht="15.75" customHeight="1">
      <c r="H905" s="118"/>
    </row>
    <row r="906" ht="15.75" customHeight="1">
      <c r="H906" s="118"/>
    </row>
    <row r="907" ht="15.75" customHeight="1">
      <c r="H907" s="118"/>
    </row>
    <row r="908" ht="15.75" customHeight="1">
      <c r="H908" s="118"/>
    </row>
    <row r="909" ht="15.75" customHeight="1">
      <c r="H909" s="118"/>
    </row>
    <row r="910" ht="15.75" customHeight="1">
      <c r="H910" s="118"/>
    </row>
    <row r="911" ht="15.75" customHeight="1">
      <c r="H911" s="118"/>
    </row>
    <row r="912" ht="15.75" customHeight="1">
      <c r="H912" s="118"/>
    </row>
    <row r="913" ht="15.75" customHeight="1">
      <c r="H913" s="118"/>
    </row>
    <row r="914" ht="15.75" customHeight="1">
      <c r="H914" s="118"/>
    </row>
    <row r="915" ht="15.75" customHeight="1">
      <c r="H915" s="118"/>
    </row>
    <row r="916" ht="15.75" customHeight="1">
      <c r="H916" s="118"/>
    </row>
    <row r="917" ht="15.75" customHeight="1">
      <c r="H917" s="118"/>
    </row>
    <row r="918" ht="15.75" customHeight="1">
      <c r="H918" s="118"/>
    </row>
    <row r="919" ht="15.75" customHeight="1">
      <c r="H919" s="118"/>
    </row>
    <row r="920" ht="15.75" customHeight="1">
      <c r="H920" s="118"/>
    </row>
    <row r="921" ht="15.75" customHeight="1">
      <c r="H921" s="118"/>
    </row>
    <row r="922" ht="15.75" customHeight="1">
      <c r="H922" s="118"/>
    </row>
    <row r="923" ht="15.75" customHeight="1">
      <c r="H923" s="118"/>
    </row>
    <row r="924" ht="15.75" customHeight="1">
      <c r="H924" s="118"/>
    </row>
    <row r="925" ht="15.75" customHeight="1">
      <c r="H925" s="118"/>
    </row>
    <row r="926" ht="15.75" customHeight="1">
      <c r="H926" s="118"/>
    </row>
    <row r="927" ht="15.75" customHeight="1">
      <c r="H927" s="118"/>
    </row>
    <row r="928" ht="15.75" customHeight="1">
      <c r="H928" s="118"/>
    </row>
    <row r="929" ht="15.75" customHeight="1">
      <c r="H929" s="118"/>
    </row>
    <row r="930" ht="15.75" customHeight="1">
      <c r="H930" s="118"/>
    </row>
    <row r="931" ht="15.75" customHeight="1">
      <c r="H931" s="118"/>
    </row>
    <row r="932" ht="15.75" customHeight="1">
      <c r="H932" s="118"/>
    </row>
    <row r="933" ht="15.75" customHeight="1">
      <c r="H933" s="118"/>
    </row>
    <row r="934" ht="15.75" customHeight="1">
      <c r="H934" s="118"/>
    </row>
    <row r="935" ht="15.75" customHeight="1">
      <c r="H935" s="118"/>
    </row>
    <row r="936" ht="15.75" customHeight="1">
      <c r="H936" s="118"/>
    </row>
    <row r="937" ht="15.75" customHeight="1">
      <c r="H937" s="118"/>
    </row>
    <row r="938" ht="15.75" customHeight="1">
      <c r="H938" s="118"/>
    </row>
    <row r="939" ht="15.75" customHeight="1">
      <c r="H939" s="118"/>
    </row>
    <row r="940" ht="15.75" customHeight="1">
      <c r="H940" s="118"/>
    </row>
    <row r="941" ht="15.75" customHeight="1">
      <c r="H941" s="118"/>
    </row>
    <row r="942" ht="15.75" customHeight="1">
      <c r="H942" s="118"/>
    </row>
    <row r="943" ht="15.75" customHeight="1">
      <c r="H943" s="118"/>
    </row>
    <row r="944" ht="15.75" customHeight="1">
      <c r="H944" s="118"/>
    </row>
    <row r="945" ht="15.75" customHeight="1">
      <c r="H945" s="118"/>
    </row>
    <row r="946" ht="15.75" customHeight="1">
      <c r="H946" s="118"/>
    </row>
    <row r="947" ht="15.75" customHeight="1">
      <c r="H947" s="118"/>
    </row>
    <row r="948" ht="15.75" customHeight="1">
      <c r="H948" s="118"/>
    </row>
    <row r="949" ht="15.75" customHeight="1">
      <c r="H949" s="118"/>
    </row>
    <row r="950" ht="15.75" customHeight="1">
      <c r="H950" s="118"/>
    </row>
    <row r="951" ht="15.75" customHeight="1">
      <c r="H951" s="118"/>
    </row>
    <row r="952" ht="15.75" customHeight="1">
      <c r="H952" s="118"/>
    </row>
    <row r="953" ht="15.75" customHeight="1">
      <c r="H953" s="118"/>
    </row>
    <row r="954" ht="15.75" customHeight="1">
      <c r="H954" s="118"/>
    </row>
    <row r="955" ht="15.75" customHeight="1">
      <c r="H955" s="118"/>
    </row>
    <row r="956" ht="15.75" customHeight="1">
      <c r="H956" s="118"/>
    </row>
    <row r="957" ht="15.75" customHeight="1">
      <c r="H957" s="118"/>
    </row>
    <row r="958" ht="15.75" customHeight="1">
      <c r="H958" s="118"/>
    </row>
    <row r="959" ht="15.75" customHeight="1">
      <c r="H959" s="118"/>
    </row>
    <row r="960" ht="15.75" customHeight="1">
      <c r="H960" s="118"/>
    </row>
    <row r="961" ht="15.75" customHeight="1">
      <c r="H961" s="118"/>
    </row>
    <row r="962" ht="15.75" customHeight="1">
      <c r="H962" s="118"/>
    </row>
    <row r="963" ht="15.75" customHeight="1">
      <c r="H963" s="118"/>
    </row>
    <row r="964" ht="15.75" customHeight="1">
      <c r="H964" s="118"/>
    </row>
    <row r="965" ht="15.75" customHeight="1">
      <c r="H965" s="118"/>
    </row>
    <row r="966" ht="15.75" customHeight="1">
      <c r="H966" s="118"/>
    </row>
    <row r="967" ht="15.75" customHeight="1">
      <c r="H967" s="118"/>
    </row>
    <row r="968" ht="15.75" customHeight="1">
      <c r="H968" s="118"/>
    </row>
    <row r="969" ht="15.75" customHeight="1">
      <c r="H969" s="118"/>
    </row>
    <row r="970" ht="15.75" customHeight="1">
      <c r="H970" s="118"/>
    </row>
    <row r="971" ht="15.75" customHeight="1">
      <c r="H971" s="118"/>
    </row>
    <row r="972" ht="15.75" customHeight="1">
      <c r="H972" s="118"/>
    </row>
    <row r="973" ht="15.75" customHeight="1">
      <c r="H973" s="118"/>
    </row>
    <row r="974" ht="15.75" customHeight="1">
      <c r="H974" s="118"/>
    </row>
    <row r="975" ht="15.75" customHeight="1">
      <c r="H975" s="118"/>
    </row>
    <row r="976" ht="15.75" customHeight="1">
      <c r="H976" s="118"/>
    </row>
    <row r="977" ht="15.75" customHeight="1">
      <c r="H977" s="118"/>
    </row>
    <row r="978" ht="15.75" customHeight="1">
      <c r="H978" s="118"/>
    </row>
    <row r="979" ht="15.75" customHeight="1">
      <c r="H979" s="118"/>
    </row>
    <row r="980" ht="15.75" customHeight="1">
      <c r="H980" s="118"/>
    </row>
    <row r="981" ht="15.75" customHeight="1">
      <c r="H981" s="118"/>
    </row>
    <row r="982" ht="15.75" customHeight="1">
      <c r="H982" s="118"/>
    </row>
    <row r="983" ht="15.75" customHeight="1">
      <c r="H983" s="118"/>
    </row>
    <row r="984" ht="15.75" customHeight="1">
      <c r="H984" s="118"/>
    </row>
    <row r="985" ht="15.75" customHeight="1">
      <c r="H985" s="118"/>
    </row>
    <row r="986" ht="15.75" customHeight="1">
      <c r="H986" s="118"/>
    </row>
    <row r="987" ht="15.75" customHeight="1">
      <c r="H987" s="118"/>
    </row>
    <row r="988" ht="15.75" customHeight="1">
      <c r="H988" s="118"/>
    </row>
    <row r="989" ht="15.75" customHeight="1">
      <c r="H989" s="118"/>
    </row>
    <row r="990" ht="15.75" customHeight="1">
      <c r="H990" s="118"/>
    </row>
    <row r="991" ht="15.75" customHeight="1">
      <c r="H991" s="118"/>
    </row>
    <row r="992" ht="15.75" customHeight="1">
      <c r="H992" s="118"/>
    </row>
    <row r="993" ht="15.75" customHeight="1">
      <c r="H993" s="118"/>
    </row>
    <row r="994" ht="15.75" customHeight="1">
      <c r="H994" s="118"/>
    </row>
    <row r="995" ht="15.75" customHeight="1">
      <c r="H995" s="118"/>
    </row>
    <row r="996" ht="15.75" customHeight="1">
      <c r="H996" s="118"/>
    </row>
    <row r="997" ht="15.75" customHeight="1">
      <c r="H997" s="118"/>
    </row>
    <row r="998" ht="15.75" customHeight="1">
      <c r="H998" s="118"/>
    </row>
    <row r="999" ht="15.75" customHeight="1">
      <c r="H999" s="118"/>
    </row>
    <row r="1000" ht="15.75" customHeight="1">
      <c r="H1000" s="118"/>
    </row>
    <row r="1001" ht="15.75" customHeight="1">
      <c r="H1001" s="118"/>
    </row>
    <row r="1002" ht="15.75" customHeight="1">
      <c r="H1002" s="118"/>
    </row>
    <row r="1003" ht="15.75" customHeight="1">
      <c r="H1003" s="118"/>
    </row>
    <row r="1004" ht="15.75" customHeight="1">
      <c r="H1004" s="118"/>
    </row>
  </sheetData>
  <mergeCells count="21">
    <mergeCell ref="I2:I3"/>
    <mergeCell ref="J2:J3"/>
    <mergeCell ref="M8:O8"/>
    <mergeCell ref="M9:O9"/>
    <mergeCell ref="M10:O10"/>
    <mergeCell ref="M11:O11"/>
    <mergeCell ref="M12:O12"/>
    <mergeCell ref="M13:O13"/>
    <mergeCell ref="B4:B8"/>
    <mergeCell ref="B9:B13"/>
    <mergeCell ref="B14:B18"/>
    <mergeCell ref="B19:B23"/>
    <mergeCell ref="B24:C24"/>
    <mergeCell ref="B25:C25"/>
    <mergeCell ref="B2:B3"/>
    <mergeCell ref="C2:C3"/>
    <mergeCell ref="D2:D3"/>
    <mergeCell ref="E2:E3"/>
    <mergeCell ref="F2:F3"/>
    <mergeCell ref="G2:G3"/>
    <mergeCell ref="H2:H3"/>
  </mergeCells>
  <conditionalFormatting sqref="I4:J23">
    <cfRule type="cellIs" dxfId="0" priority="1" operator="between">
      <formula>0</formula>
      <formula>1</formula>
    </cfRule>
  </conditionalFormatting>
  <conditionalFormatting sqref="I4:J23">
    <cfRule type="cellIs" dxfId="1" priority="2" operator="between">
      <formula>-0.01</formula>
      <formula>-0.25</formula>
    </cfRule>
  </conditionalFormatting>
  <conditionalFormatting sqref="I4:J23">
    <cfRule type="cellIs" dxfId="2" priority="3" operator="between">
      <formula>-0.26</formula>
      <formula>-0.5</formula>
    </cfRule>
  </conditionalFormatting>
  <conditionalFormatting sqref="I4:J23">
    <cfRule type="cellIs" dxfId="3" priority="4" operator="between">
      <formula>-0.51</formula>
      <formula>-0.75</formula>
    </cfRule>
  </conditionalFormatting>
  <conditionalFormatting sqref="I4:J23">
    <cfRule type="cellIs" dxfId="4" priority="5" operator="between">
      <formula>-0.76</formula>
      <formula>-2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26" width="6.38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5"/>
      <c r="S1" s="3"/>
    </row>
    <row r="2" ht="15.75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0"/>
    </row>
    <row r="4" ht="15.75" customHeight="1">
      <c r="A4" s="8"/>
      <c r="B4" s="11" t="s">
        <v>2</v>
      </c>
      <c r="C4" s="12" t="s">
        <v>3</v>
      </c>
      <c r="D4" s="7"/>
      <c r="E4" s="7"/>
      <c r="F4" s="10"/>
      <c r="G4" s="13" t="s">
        <v>4</v>
      </c>
      <c r="H4" s="7"/>
      <c r="I4" s="7"/>
      <c r="J4" s="7"/>
      <c r="K4" s="10"/>
      <c r="L4" s="14" t="s">
        <v>5</v>
      </c>
      <c r="M4" s="7"/>
      <c r="N4" s="7"/>
      <c r="O4" s="7"/>
      <c r="P4" s="10"/>
      <c r="Q4" s="15" t="s">
        <v>6</v>
      </c>
      <c r="R4" s="7"/>
      <c r="S4" s="7"/>
      <c r="T4" s="7"/>
      <c r="U4" s="10"/>
      <c r="V4" s="16" t="s">
        <v>7</v>
      </c>
      <c r="W4" s="7"/>
      <c r="X4" s="7"/>
      <c r="Y4" s="7"/>
      <c r="Z4" s="10"/>
    </row>
    <row r="5" ht="15.75" customHeight="1">
      <c r="A5" s="8"/>
      <c r="B5" s="17"/>
      <c r="C5" s="18" t="s">
        <v>8</v>
      </c>
      <c r="D5" s="18" t="s">
        <v>9</v>
      </c>
      <c r="E5" s="18" t="s">
        <v>10</v>
      </c>
      <c r="F5" s="18" t="s">
        <v>11</v>
      </c>
      <c r="G5" s="19" t="s">
        <v>12</v>
      </c>
      <c r="H5" s="19" t="s">
        <v>13</v>
      </c>
      <c r="I5" s="19" t="s">
        <v>14</v>
      </c>
      <c r="J5" s="20">
        <v>0.75</v>
      </c>
      <c r="K5" s="20">
        <v>1.0</v>
      </c>
      <c r="L5" s="21" t="s">
        <v>12</v>
      </c>
      <c r="M5" s="21" t="s">
        <v>13</v>
      </c>
      <c r="N5" s="21" t="s">
        <v>14</v>
      </c>
      <c r="O5" s="22">
        <v>0.75</v>
      </c>
      <c r="P5" s="22">
        <v>1.0</v>
      </c>
      <c r="Q5" s="23" t="s">
        <v>12</v>
      </c>
      <c r="R5" s="23" t="s">
        <v>13</v>
      </c>
      <c r="S5" s="23" t="s">
        <v>14</v>
      </c>
      <c r="T5" s="24">
        <v>0.75</v>
      </c>
      <c r="U5" s="24">
        <v>1.0</v>
      </c>
      <c r="V5" s="25" t="s">
        <v>12</v>
      </c>
      <c r="W5" s="25" t="s">
        <v>13</v>
      </c>
      <c r="X5" s="25" t="s">
        <v>14</v>
      </c>
      <c r="Y5" s="26">
        <v>0.75</v>
      </c>
      <c r="Z5" s="26">
        <v>1.0</v>
      </c>
    </row>
    <row r="6" ht="15.7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/>
      <c r="B7" s="30">
        <v>1.0</v>
      </c>
      <c r="C7" s="31"/>
      <c r="D7" s="31"/>
      <c r="E7" s="31">
        <v>1.867</v>
      </c>
      <c r="F7" s="31">
        <v>0.171</v>
      </c>
      <c r="G7" s="31">
        <v>1.365</v>
      </c>
      <c r="H7" s="31">
        <v>0.98</v>
      </c>
      <c r="I7" s="31">
        <v>0.99</v>
      </c>
      <c r="J7" s="31">
        <v>0.631</v>
      </c>
      <c r="K7" s="31">
        <v>0.435</v>
      </c>
      <c r="L7" s="31">
        <v>1.885</v>
      </c>
      <c r="M7" s="33">
        <v>1.688</v>
      </c>
      <c r="N7" s="31">
        <v>1.15</v>
      </c>
      <c r="O7" s="31">
        <v>0.681</v>
      </c>
      <c r="P7" s="31">
        <v>0.365</v>
      </c>
      <c r="Q7" s="31">
        <v>1.187</v>
      </c>
      <c r="R7" s="31">
        <v>0.84</v>
      </c>
      <c r="S7" s="31">
        <v>1.08</v>
      </c>
      <c r="T7" s="34">
        <v>0.72</v>
      </c>
      <c r="U7" s="34">
        <v>0.1</v>
      </c>
      <c r="V7" s="34">
        <v>2.066</v>
      </c>
      <c r="W7" s="34">
        <v>1.233</v>
      </c>
      <c r="X7" s="36">
        <v>0.535</v>
      </c>
      <c r="Y7" s="34">
        <v>1.05</v>
      </c>
      <c r="Z7" s="34">
        <v>0.24</v>
      </c>
    </row>
    <row r="8" ht="15.75" customHeight="1">
      <c r="A8" s="29"/>
      <c r="B8" s="17"/>
      <c r="C8" s="36"/>
      <c r="D8" s="36"/>
      <c r="E8" s="36">
        <v>2.603</v>
      </c>
      <c r="F8" s="36">
        <v>0.365</v>
      </c>
      <c r="G8" s="36">
        <v>2.014</v>
      </c>
      <c r="H8" s="36">
        <v>0.99</v>
      </c>
      <c r="I8" s="36">
        <v>1.074</v>
      </c>
      <c r="J8" s="36">
        <v>0.337</v>
      </c>
      <c r="K8" s="36">
        <v>0.427</v>
      </c>
      <c r="L8" s="36">
        <v>1.61</v>
      </c>
      <c r="M8" s="38">
        <v>1.43</v>
      </c>
      <c r="N8" s="36">
        <v>0.95</v>
      </c>
      <c r="O8" s="36">
        <v>0.997</v>
      </c>
      <c r="P8" s="36">
        <v>0.489</v>
      </c>
      <c r="Q8" s="36">
        <v>3.179</v>
      </c>
      <c r="R8" s="36">
        <v>1.911</v>
      </c>
      <c r="S8" s="36">
        <v>0.82</v>
      </c>
      <c r="T8" s="40">
        <v>0.11</v>
      </c>
      <c r="U8" s="40"/>
      <c r="V8" s="40">
        <v>2.599</v>
      </c>
      <c r="W8" s="40">
        <v>1.113</v>
      </c>
      <c r="X8" s="36">
        <v>0.535</v>
      </c>
      <c r="Y8" s="40">
        <v>0.85</v>
      </c>
      <c r="Z8" s="40"/>
    </row>
    <row r="9" ht="15.75" customHeight="1">
      <c r="A9" s="29"/>
      <c r="B9" s="17"/>
      <c r="C9" s="36"/>
      <c r="D9" s="36"/>
      <c r="E9" s="36">
        <v>1.674</v>
      </c>
      <c r="F9" s="36">
        <v>0.217</v>
      </c>
      <c r="G9" s="36">
        <v>3.65</v>
      </c>
      <c r="H9" s="36">
        <v>0.985</v>
      </c>
      <c r="I9" s="36">
        <v>1.162</v>
      </c>
      <c r="J9" s="36">
        <v>0.749</v>
      </c>
      <c r="K9" s="36"/>
      <c r="L9" s="36">
        <v>1.132</v>
      </c>
      <c r="M9" s="38">
        <v>0.464</v>
      </c>
      <c r="N9" s="36">
        <v>1.47</v>
      </c>
      <c r="O9" s="36">
        <v>0.742</v>
      </c>
      <c r="P9" s="36">
        <v>0.511</v>
      </c>
      <c r="Q9" s="36">
        <v>0.18</v>
      </c>
      <c r="R9" s="36">
        <v>1.143</v>
      </c>
      <c r="S9" s="36">
        <v>0.92</v>
      </c>
      <c r="T9" s="40">
        <v>0.67</v>
      </c>
      <c r="U9" s="40"/>
      <c r="V9" s="40">
        <v>1.873</v>
      </c>
      <c r="W9" s="40">
        <v>1.088</v>
      </c>
      <c r="X9" s="40">
        <v>0.71</v>
      </c>
      <c r="Y9" s="40">
        <v>0.72</v>
      </c>
      <c r="Z9" s="40"/>
    </row>
    <row r="10" ht="15.75" customHeight="1">
      <c r="A10" s="29"/>
      <c r="B10" s="17"/>
      <c r="C10" s="41"/>
      <c r="D10" s="41"/>
      <c r="E10" s="41">
        <v>2.034</v>
      </c>
      <c r="F10" s="36">
        <v>0.25</v>
      </c>
      <c r="G10" s="36">
        <v>0.337</v>
      </c>
      <c r="H10" s="36">
        <v>1.187</v>
      </c>
      <c r="I10" s="36">
        <v>0.96</v>
      </c>
      <c r="J10" s="36">
        <v>0.714</v>
      </c>
      <c r="K10" s="36"/>
      <c r="L10" s="36">
        <v>1.781</v>
      </c>
      <c r="M10" s="38">
        <v>1.532</v>
      </c>
      <c r="N10" s="36">
        <v>1.2</v>
      </c>
      <c r="O10" s="36">
        <v>0.501</v>
      </c>
      <c r="P10" s="36"/>
      <c r="Q10" s="36">
        <v>0.448</v>
      </c>
      <c r="R10" s="36">
        <v>1.786</v>
      </c>
      <c r="S10" s="36">
        <v>1.31</v>
      </c>
      <c r="T10" s="40">
        <v>0.71</v>
      </c>
      <c r="U10" s="40"/>
      <c r="V10" s="40">
        <v>0.86</v>
      </c>
      <c r="W10" s="40">
        <v>0.98</v>
      </c>
      <c r="X10" s="40">
        <v>0.77</v>
      </c>
      <c r="Y10" s="40">
        <v>0.74</v>
      </c>
      <c r="Z10" s="40"/>
    </row>
    <row r="11" ht="15.75" customHeight="1">
      <c r="A11" s="29"/>
      <c r="B11" s="17"/>
      <c r="C11" s="41"/>
      <c r="D11" s="41"/>
      <c r="E11" s="41">
        <v>2.195</v>
      </c>
      <c r="F11" s="36">
        <v>0.293</v>
      </c>
      <c r="G11" s="36">
        <v>2.844</v>
      </c>
      <c r="H11" s="36">
        <v>1.171</v>
      </c>
      <c r="I11" s="36">
        <v>0.742</v>
      </c>
      <c r="J11" s="36">
        <v>0.371</v>
      </c>
      <c r="K11" s="36"/>
      <c r="L11" s="36">
        <v>1.263</v>
      </c>
      <c r="M11" s="38">
        <v>1.458</v>
      </c>
      <c r="N11" s="36">
        <v>0.384</v>
      </c>
      <c r="O11" s="36">
        <v>0.428</v>
      </c>
      <c r="P11" s="36"/>
      <c r="Q11" s="36">
        <v>1.637</v>
      </c>
      <c r="R11" s="36">
        <v>0.751</v>
      </c>
      <c r="S11" s="36">
        <v>0.88</v>
      </c>
      <c r="T11" s="40">
        <v>0.97</v>
      </c>
      <c r="U11" s="40"/>
      <c r="V11" s="40">
        <v>3.072</v>
      </c>
      <c r="W11" s="40">
        <v>1.022</v>
      </c>
      <c r="X11" s="36">
        <v>0.735</v>
      </c>
      <c r="Y11" s="40">
        <v>0.33</v>
      </c>
      <c r="Z11" s="40"/>
    </row>
    <row r="12" ht="15.75" customHeight="1">
      <c r="A12" s="29"/>
      <c r="B12" s="17"/>
      <c r="C12" s="41"/>
      <c r="D12" s="41"/>
      <c r="E12" s="41">
        <v>1.758</v>
      </c>
      <c r="F12" s="36">
        <v>0.345</v>
      </c>
      <c r="G12" s="36">
        <v>3.109</v>
      </c>
      <c r="H12" s="36">
        <v>0.9</v>
      </c>
      <c r="I12" s="36">
        <v>1.145</v>
      </c>
      <c r="J12" s="36">
        <v>0.337</v>
      </c>
      <c r="K12" s="36"/>
      <c r="L12" s="36">
        <v>1.477</v>
      </c>
      <c r="M12" s="38">
        <v>1.385</v>
      </c>
      <c r="N12" s="36">
        <v>0.877</v>
      </c>
      <c r="O12" s="36">
        <v>0.472</v>
      </c>
      <c r="P12" s="36"/>
      <c r="Q12" s="36">
        <v>2.144</v>
      </c>
      <c r="R12" s="36">
        <v>2.066</v>
      </c>
      <c r="S12" s="36">
        <v>0.26</v>
      </c>
      <c r="T12" s="40">
        <v>0.6</v>
      </c>
      <c r="U12" s="40"/>
      <c r="V12" s="40">
        <v>2.238</v>
      </c>
      <c r="W12" s="40">
        <v>1.328</v>
      </c>
      <c r="X12" s="40"/>
      <c r="Y12" s="40"/>
      <c r="Z12" s="40"/>
    </row>
    <row r="13" ht="15.75" customHeight="1">
      <c r="A13" s="29"/>
      <c r="B13" s="17"/>
      <c r="C13" s="41"/>
      <c r="D13" s="41"/>
      <c r="E13" s="41">
        <v>2.017</v>
      </c>
      <c r="F13" s="36">
        <v>0.243</v>
      </c>
      <c r="G13" s="36">
        <v>2.163</v>
      </c>
      <c r="H13" s="36">
        <v>1.229</v>
      </c>
      <c r="I13" s="36">
        <v>1.043</v>
      </c>
      <c r="J13" s="36">
        <v>0.787</v>
      </c>
      <c r="K13" s="36"/>
      <c r="L13" s="36">
        <v>0.735</v>
      </c>
      <c r="M13" s="38">
        <v>1.267</v>
      </c>
      <c r="N13" s="36">
        <v>0.257</v>
      </c>
      <c r="O13" s="36">
        <v>0.618</v>
      </c>
      <c r="P13" s="36"/>
      <c r="Q13" s="36">
        <v>1.945</v>
      </c>
      <c r="R13" s="36">
        <v>0.961</v>
      </c>
      <c r="S13" s="36"/>
      <c r="T13" s="40">
        <v>0.8</v>
      </c>
      <c r="U13" s="40"/>
      <c r="V13" s="40">
        <v>1.79</v>
      </c>
      <c r="W13" s="40">
        <v>1.254</v>
      </c>
      <c r="X13" s="40"/>
      <c r="Y13" s="40"/>
      <c r="Z13" s="40"/>
    </row>
    <row r="14" ht="15.75" customHeight="1">
      <c r="A14" s="29"/>
      <c r="B14" s="17"/>
      <c r="C14" s="41"/>
      <c r="D14" s="41"/>
      <c r="E14" s="41">
        <v>2.468</v>
      </c>
      <c r="F14" s="36">
        <v>0.214</v>
      </c>
      <c r="G14" s="36">
        <v>1.916</v>
      </c>
      <c r="H14" s="36">
        <v>1.412</v>
      </c>
      <c r="I14" s="36">
        <v>1.203</v>
      </c>
      <c r="J14" s="36">
        <v>0.424</v>
      </c>
      <c r="K14" s="36"/>
      <c r="L14" s="36">
        <v>1.563</v>
      </c>
      <c r="M14" s="38">
        <v>1.197</v>
      </c>
      <c r="N14" s="36">
        <v>0.781</v>
      </c>
      <c r="O14" s="36">
        <v>0.79</v>
      </c>
      <c r="P14" s="36"/>
      <c r="Q14" s="36">
        <v>2.301</v>
      </c>
      <c r="R14" s="36">
        <v>1.636</v>
      </c>
      <c r="S14" s="36"/>
      <c r="T14" s="40"/>
      <c r="U14" s="40"/>
      <c r="V14" s="40">
        <v>1.138</v>
      </c>
      <c r="W14" s="40">
        <v>0.71</v>
      </c>
      <c r="X14" s="40"/>
      <c r="Y14" s="40"/>
      <c r="Z14" s="40"/>
    </row>
    <row r="15" ht="15.75" customHeight="1">
      <c r="A15" s="29"/>
      <c r="B15" s="17"/>
      <c r="C15" s="41"/>
      <c r="D15" s="41"/>
      <c r="E15" s="41">
        <v>1.734</v>
      </c>
      <c r="F15" s="36">
        <v>0.268</v>
      </c>
      <c r="G15" s="36">
        <v>5.009</v>
      </c>
      <c r="H15" s="36">
        <v>1.299</v>
      </c>
      <c r="I15" s="36">
        <v>0.796</v>
      </c>
      <c r="J15" s="36">
        <v>0.698</v>
      </c>
      <c r="K15" s="36"/>
      <c r="L15" s="36">
        <v>2.431</v>
      </c>
      <c r="M15" s="38"/>
      <c r="N15" s="36">
        <v>0.643</v>
      </c>
      <c r="O15" s="36">
        <v>0.535</v>
      </c>
      <c r="P15" s="36"/>
      <c r="Q15" s="36">
        <v>1.178</v>
      </c>
      <c r="R15" s="36">
        <v>1.73</v>
      </c>
      <c r="S15" s="36"/>
      <c r="T15" s="40"/>
      <c r="U15" s="40"/>
      <c r="V15" s="40">
        <v>0.25</v>
      </c>
      <c r="W15" s="40">
        <v>0.77</v>
      </c>
      <c r="X15" s="40"/>
      <c r="Y15" s="40"/>
      <c r="Z15" s="40"/>
    </row>
    <row r="16" ht="15.75" customHeight="1">
      <c r="A16" s="29"/>
      <c r="B16" s="28"/>
      <c r="C16" s="42"/>
      <c r="D16" s="42"/>
      <c r="E16" s="42">
        <v>1.969</v>
      </c>
      <c r="F16" s="43"/>
      <c r="G16" s="43"/>
      <c r="H16" s="43">
        <v>0.68</v>
      </c>
      <c r="I16" s="43"/>
      <c r="J16" s="43">
        <v>0.627</v>
      </c>
      <c r="K16" s="43"/>
      <c r="L16" s="43">
        <v>2.541</v>
      </c>
      <c r="M16" s="45"/>
      <c r="N16" s="36">
        <v>1.09</v>
      </c>
      <c r="O16" s="36">
        <v>0.535</v>
      </c>
      <c r="P16" s="36"/>
      <c r="Q16" s="36"/>
      <c r="R16" s="36"/>
      <c r="S16" s="36"/>
      <c r="T16" s="40"/>
      <c r="U16" s="40"/>
      <c r="V16" s="40"/>
      <c r="W16" s="40"/>
      <c r="X16" s="40"/>
      <c r="Y16" s="40"/>
      <c r="Z16" s="40"/>
    </row>
    <row r="17" ht="15.75" customHeight="1">
      <c r="A17" s="29"/>
      <c r="B17" s="46">
        <v>2.0</v>
      </c>
      <c r="C17" s="47"/>
      <c r="D17" s="47"/>
      <c r="E17" s="47">
        <v>2.14</v>
      </c>
      <c r="F17" s="31"/>
      <c r="G17" s="31"/>
      <c r="H17" s="31">
        <v>1.068</v>
      </c>
      <c r="I17" s="31"/>
      <c r="J17" s="31"/>
      <c r="K17" s="31"/>
      <c r="L17" s="31">
        <v>0.196</v>
      </c>
      <c r="M17" s="33"/>
      <c r="N17" s="31">
        <v>0.838</v>
      </c>
      <c r="O17" s="31">
        <v>1.036</v>
      </c>
      <c r="P17" s="31"/>
      <c r="Q17" s="31"/>
      <c r="R17" s="31"/>
      <c r="S17" s="31"/>
      <c r="T17" s="34"/>
      <c r="U17" s="34"/>
      <c r="V17" s="34"/>
      <c r="W17" s="34"/>
      <c r="X17" s="34"/>
      <c r="Y17" s="34"/>
      <c r="Z17" s="34"/>
    </row>
    <row r="18" ht="15.75" customHeight="1">
      <c r="A18" s="29"/>
      <c r="B18" s="17"/>
      <c r="C18" s="41"/>
      <c r="D18" s="41"/>
      <c r="E18" s="41">
        <v>2.181</v>
      </c>
      <c r="F18" s="36"/>
      <c r="G18" s="36"/>
      <c r="H18" s="36">
        <v>1.451</v>
      </c>
      <c r="I18" s="36"/>
      <c r="J18" s="36"/>
      <c r="K18" s="36"/>
      <c r="L18" s="36">
        <v>2.042</v>
      </c>
      <c r="M18" s="38"/>
      <c r="N18" s="36">
        <v>0.492</v>
      </c>
      <c r="O18" s="36">
        <v>0.599</v>
      </c>
      <c r="P18" s="36"/>
      <c r="Q18" s="36"/>
      <c r="R18" s="36"/>
      <c r="S18" s="36"/>
      <c r="T18" s="40"/>
      <c r="U18" s="40"/>
      <c r="V18" s="40"/>
      <c r="W18" s="40"/>
      <c r="X18" s="40"/>
      <c r="Y18" s="40"/>
      <c r="Z18" s="40"/>
    </row>
    <row r="19" ht="15.75" customHeight="1">
      <c r="A19" s="48"/>
      <c r="B19" s="17"/>
      <c r="C19" s="41"/>
      <c r="D19" s="41"/>
      <c r="E19" s="41">
        <v>1.458</v>
      </c>
      <c r="F19" s="36"/>
      <c r="G19" s="36"/>
      <c r="H19" s="36">
        <v>1.235</v>
      </c>
      <c r="I19" s="36"/>
      <c r="J19" s="36"/>
      <c r="K19" s="36"/>
      <c r="L19" s="36"/>
      <c r="M19" s="38"/>
      <c r="N19" s="36"/>
      <c r="O19" s="36">
        <v>0.588</v>
      </c>
      <c r="P19" s="36"/>
      <c r="Q19" s="36"/>
      <c r="R19" s="36"/>
      <c r="S19" s="36"/>
      <c r="T19" s="40"/>
      <c r="U19" s="40"/>
      <c r="V19" s="40"/>
      <c r="W19" s="40"/>
      <c r="X19" s="40"/>
      <c r="Y19" s="40"/>
      <c r="Z19" s="40"/>
    </row>
    <row r="20" ht="15.75" customHeight="1">
      <c r="A20" s="48"/>
      <c r="B20" s="17"/>
      <c r="C20" s="41"/>
      <c r="D20" s="41"/>
      <c r="E20" s="41">
        <v>1.855</v>
      </c>
      <c r="F20" s="36"/>
      <c r="G20" s="36"/>
      <c r="H20" s="36">
        <v>1.949</v>
      </c>
      <c r="I20" s="36"/>
      <c r="J20" s="36"/>
      <c r="K20" s="36"/>
      <c r="L20" s="36"/>
      <c r="M20" s="38"/>
      <c r="N20" s="36"/>
      <c r="O20" s="36">
        <v>0.978</v>
      </c>
      <c r="P20" s="36"/>
      <c r="Q20" s="36"/>
      <c r="R20" s="36"/>
      <c r="S20" s="36"/>
      <c r="T20" s="40"/>
      <c r="U20" s="40"/>
      <c r="V20" s="40"/>
      <c r="W20" s="40"/>
      <c r="X20" s="40"/>
      <c r="Y20" s="40"/>
      <c r="Z20" s="40"/>
    </row>
    <row r="21" ht="15.75" customHeight="1">
      <c r="A21" s="48"/>
      <c r="B21" s="17"/>
      <c r="C21" s="41"/>
      <c r="D21" s="41"/>
      <c r="E21" s="41">
        <v>0.925</v>
      </c>
      <c r="F21" s="36"/>
      <c r="G21" s="36"/>
      <c r="H21" s="36">
        <v>1.512</v>
      </c>
      <c r="I21" s="36"/>
      <c r="J21" s="36"/>
      <c r="K21" s="36"/>
      <c r="L21" s="36"/>
      <c r="M21" s="38"/>
      <c r="N21" s="36"/>
      <c r="O21" s="36">
        <v>0.85</v>
      </c>
      <c r="P21" s="36"/>
      <c r="Q21" s="36"/>
      <c r="R21" s="36"/>
      <c r="S21" s="36"/>
      <c r="T21" s="40"/>
      <c r="U21" s="40"/>
      <c r="V21" s="40"/>
      <c r="W21" s="40"/>
      <c r="X21" s="40"/>
      <c r="Y21" s="40"/>
      <c r="Z21" s="40"/>
    </row>
    <row r="22" ht="15.75" customHeight="1">
      <c r="A22" s="48"/>
      <c r="B22" s="17"/>
      <c r="C22" s="41"/>
      <c r="D22" s="41"/>
      <c r="E22" s="41">
        <v>1.206</v>
      </c>
      <c r="F22" s="36"/>
      <c r="G22" s="36"/>
      <c r="H22" s="36">
        <v>1.182</v>
      </c>
      <c r="I22" s="36"/>
      <c r="J22" s="36"/>
      <c r="K22" s="36"/>
      <c r="L22" s="36"/>
      <c r="M22" s="38"/>
      <c r="N22" s="36"/>
      <c r="O22" s="36"/>
      <c r="P22" s="36"/>
      <c r="Q22" s="36"/>
      <c r="R22" s="36"/>
      <c r="S22" s="36"/>
      <c r="T22" s="40"/>
      <c r="U22" s="40"/>
      <c r="V22" s="40"/>
      <c r="W22" s="40"/>
      <c r="X22" s="40"/>
      <c r="Y22" s="40"/>
      <c r="Z22" s="40"/>
    </row>
    <row r="23" ht="15.75" customHeight="1">
      <c r="A23" s="48"/>
      <c r="B23" s="17"/>
      <c r="C23" s="41"/>
      <c r="D23" s="41"/>
      <c r="E23" s="41">
        <v>2.405</v>
      </c>
      <c r="F23" s="36"/>
      <c r="G23" s="36"/>
      <c r="H23" s="36">
        <v>1.594</v>
      </c>
      <c r="I23" s="36"/>
      <c r="J23" s="36"/>
      <c r="K23" s="36"/>
      <c r="L23" s="36"/>
      <c r="M23" s="38"/>
      <c r="N23" s="36"/>
      <c r="O23" s="36"/>
      <c r="P23" s="36"/>
      <c r="Q23" s="36"/>
      <c r="R23" s="36"/>
      <c r="S23" s="36"/>
      <c r="T23" s="40"/>
      <c r="U23" s="40"/>
      <c r="V23" s="40"/>
      <c r="W23" s="40"/>
      <c r="X23" s="40"/>
      <c r="Y23" s="40"/>
      <c r="Z23" s="40"/>
    </row>
    <row r="24" ht="15.75" customHeight="1">
      <c r="A24" s="48"/>
      <c r="B24" s="17"/>
      <c r="C24" s="41"/>
      <c r="D24" s="41"/>
      <c r="E24" s="41"/>
      <c r="F24" s="36"/>
      <c r="G24" s="36"/>
      <c r="H24" s="36">
        <v>1.367</v>
      </c>
      <c r="I24" s="36"/>
      <c r="J24" s="36"/>
      <c r="K24" s="36"/>
      <c r="L24" s="36"/>
      <c r="M24" s="38"/>
      <c r="N24" s="36"/>
      <c r="O24" s="36"/>
      <c r="P24" s="36"/>
      <c r="Q24" s="36"/>
      <c r="R24" s="36"/>
      <c r="S24" s="36"/>
      <c r="T24" s="40"/>
      <c r="U24" s="40"/>
      <c r="V24" s="40"/>
      <c r="W24" s="40"/>
      <c r="X24" s="40"/>
      <c r="Y24" s="40"/>
      <c r="Z24" s="40"/>
    </row>
    <row r="25" ht="15.75" customHeight="1">
      <c r="A25" s="48"/>
      <c r="B25" s="17"/>
      <c r="C25" s="41"/>
      <c r="D25" s="41"/>
      <c r="E25" s="41"/>
      <c r="F25" s="36"/>
      <c r="G25" s="36"/>
      <c r="H25" s="36"/>
      <c r="I25" s="36"/>
      <c r="J25" s="36"/>
      <c r="K25" s="36"/>
      <c r="L25" s="36"/>
      <c r="M25" s="38"/>
      <c r="N25" s="36"/>
      <c r="O25" s="36"/>
      <c r="P25" s="36"/>
      <c r="Q25" s="36"/>
      <c r="R25" s="36"/>
      <c r="S25" s="36"/>
      <c r="T25" s="40"/>
      <c r="U25" s="40"/>
      <c r="V25" s="40"/>
      <c r="W25" s="40"/>
      <c r="X25" s="40"/>
      <c r="Y25" s="40"/>
      <c r="Z25" s="40"/>
    </row>
    <row r="26" ht="15.75" customHeight="1">
      <c r="B26" s="28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5"/>
      <c r="N26" s="43"/>
      <c r="O26" s="43"/>
      <c r="P26" s="43"/>
      <c r="Q26" s="43"/>
      <c r="R26" s="43"/>
      <c r="S26" s="43"/>
      <c r="T26" s="119"/>
      <c r="U26" s="119"/>
      <c r="V26" s="119"/>
      <c r="W26" s="119"/>
      <c r="X26" s="119"/>
      <c r="Y26" s="119"/>
      <c r="Z26" s="119"/>
    </row>
    <row r="27" ht="19.5" customHeight="1">
      <c r="B27" s="52" t="s">
        <v>15</v>
      </c>
      <c r="C27" s="53" t="str">
        <f t="shared" ref="C27:Z27" si="1">AVERAGE(C7:C26)</f>
        <v>#DIV/0!</v>
      </c>
      <c r="D27" s="53" t="str">
        <f t="shared" si="1"/>
        <v>#DIV/0!</v>
      </c>
      <c r="E27" s="53">
        <f t="shared" si="1"/>
        <v>1.911117647</v>
      </c>
      <c r="F27" s="53">
        <f t="shared" si="1"/>
        <v>0.2628888889</v>
      </c>
      <c r="G27" s="53">
        <f t="shared" si="1"/>
        <v>2.489666667</v>
      </c>
      <c r="H27" s="53">
        <f t="shared" si="1"/>
        <v>1.232833333</v>
      </c>
      <c r="I27" s="53">
        <f t="shared" si="1"/>
        <v>1.012777778</v>
      </c>
      <c r="J27" s="53">
        <f t="shared" si="1"/>
        <v>0.5675</v>
      </c>
      <c r="K27" s="53">
        <f t="shared" si="1"/>
        <v>0.431</v>
      </c>
      <c r="L27" s="53">
        <f t="shared" si="1"/>
        <v>1.554666667</v>
      </c>
      <c r="M27" s="53">
        <f t="shared" si="1"/>
        <v>1.302625</v>
      </c>
      <c r="N27" s="53">
        <f t="shared" si="1"/>
        <v>0.8443333333</v>
      </c>
      <c r="O27" s="53">
        <f t="shared" si="1"/>
        <v>0.69</v>
      </c>
      <c r="P27" s="53">
        <f t="shared" si="1"/>
        <v>0.455</v>
      </c>
      <c r="Q27" s="53">
        <f t="shared" si="1"/>
        <v>1.577666667</v>
      </c>
      <c r="R27" s="53">
        <f t="shared" si="1"/>
        <v>1.424888889</v>
      </c>
      <c r="S27" s="53">
        <f t="shared" si="1"/>
        <v>0.8783333333</v>
      </c>
      <c r="T27" s="53">
        <f t="shared" si="1"/>
        <v>0.6542857143</v>
      </c>
      <c r="U27" s="53">
        <f t="shared" si="1"/>
        <v>0.1</v>
      </c>
      <c r="V27" s="53">
        <f t="shared" si="1"/>
        <v>1.765111111</v>
      </c>
      <c r="W27" s="53">
        <f t="shared" si="1"/>
        <v>1.055333333</v>
      </c>
      <c r="X27" s="53">
        <f t="shared" si="1"/>
        <v>0.657</v>
      </c>
      <c r="Y27" s="53">
        <f t="shared" si="1"/>
        <v>0.738</v>
      </c>
      <c r="Z27" s="53">
        <f t="shared" si="1"/>
        <v>0.24</v>
      </c>
    </row>
    <row r="28" ht="15.75" customHeight="1">
      <c r="B28" s="52" t="s">
        <v>16</v>
      </c>
      <c r="C28" s="53" t="str">
        <f t="shared" ref="C28:Z28" si="2">STDEV(C7:C26)</f>
        <v>#DIV/0!</v>
      </c>
      <c r="D28" s="53" t="str">
        <f t="shared" si="2"/>
        <v>#DIV/0!</v>
      </c>
      <c r="E28" s="53">
        <f t="shared" si="2"/>
        <v>0.4372702086</v>
      </c>
      <c r="F28" s="53">
        <f t="shared" si="2"/>
        <v>0.06285189823</v>
      </c>
      <c r="G28" s="53">
        <f t="shared" si="2"/>
        <v>1.358466599</v>
      </c>
      <c r="H28" s="53">
        <f t="shared" si="2"/>
        <v>0.2930328731</v>
      </c>
      <c r="I28" s="53">
        <f t="shared" si="2"/>
        <v>0.1597707559</v>
      </c>
      <c r="J28" s="53">
        <f t="shared" si="2"/>
        <v>0.1803245531</v>
      </c>
      <c r="K28" s="53">
        <f t="shared" si="2"/>
        <v>0.005656854249</v>
      </c>
      <c r="L28" s="53">
        <f t="shared" si="2"/>
        <v>0.6694205545</v>
      </c>
      <c r="M28" s="53">
        <f t="shared" si="2"/>
        <v>0.3710979607</v>
      </c>
      <c r="N28" s="53">
        <f t="shared" si="2"/>
        <v>0.357969865</v>
      </c>
      <c r="O28" s="53">
        <f t="shared" si="2"/>
        <v>0.1998395785</v>
      </c>
      <c r="P28" s="53">
        <f t="shared" si="2"/>
        <v>0.07871467462</v>
      </c>
      <c r="Q28" s="53">
        <f t="shared" si="2"/>
        <v>0.9413182246</v>
      </c>
      <c r="R28" s="53">
        <f t="shared" si="2"/>
        <v>0.5007824988</v>
      </c>
      <c r="S28" s="53">
        <f t="shared" si="2"/>
        <v>0.3505662087</v>
      </c>
      <c r="T28" s="53">
        <f t="shared" si="2"/>
        <v>0.2670116816</v>
      </c>
      <c r="U28" s="53" t="str">
        <f t="shared" si="2"/>
        <v>#DIV/0!</v>
      </c>
      <c r="V28" s="53">
        <f t="shared" si="2"/>
        <v>0.8830205893</v>
      </c>
      <c r="W28" s="53">
        <f t="shared" si="2"/>
        <v>0.2113143393</v>
      </c>
      <c r="X28" s="53">
        <f t="shared" si="2"/>
        <v>0.1133909167</v>
      </c>
      <c r="Y28" s="53">
        <f t="shared" si="2"/>
        <v>0.2630019011</v>
      </c>
      <c r="Z28" s="53" t="str">
        <f t="shared" si="2"/>
        <v>#DIV/0!</v>
      </c>
    </row>
    <row r="29" ht="15.75" customHeight="1">
      <c r="B29" s="52" t="s">
        <v>17</v>
      </c>
      <c r="C29" s="53" t="str">
        <f t="shared" ref="C29:D29" si="3">C$27/$C$27</f>
        <v>#DIV/0!</v>
      </c>
      <c r="D29" s="53" t="str">
        <f t="shared" si="3"/>
        <v>#DIV/0!</v>
      </c>
      <c r="E29" s="53">
        <f t="shared" ref="E29:Z29" si="4">E$27/$E$27</f>
        <v>1</v>
      </c>
      <c r="F29" s="53">
        <f t="shared" si="4"/>
        <v>0.1375576691</v>
      </c>
      <c r="G29" s="53">
        <f t="shared" si="4"/>
        <v>1.302728103</v>
      </c>
      <c r="H29" s="53">
        <f t="shared" si="4"/>
        <v>0.6450850031</v>
      </c>
      <c r="I29" s="53">
        <f t="shared" si="4"/>
        <v>0.5299400481</v>
      </c>
      <c r="J29" s="53">
        <f t="shared" si="4"/>
        <v>0.2969466589</v>
      </c>
      <c r="K29" s="53">
        <f t="shared" si="4"/>
        <v>0.2255224845</v>
      </c>
      <c r="L29" s="53">
        <f t="shared" si="4"/>
        <v>0.81348559</v>
      </c>
      <c r="M29" s="53">
        <f t="shared" si="4"/>
        <v>0.6816037736</v>
      </c>
      <c r="N29" s="53">
        <f t="shared" si="4"/>
        <v>0.4418008146</v>
      </c>
      <c r="O29" s="53">
        <f t="shared" si="4"/>
        <v>0.3610452769</v>
      </c>
      <c r="P29" s="53">
        <f t="shared" si="4"/>
        <v>0.2380805811</v>
      </c>
      <c r="Q29" s="53">
        <f t="shared" si="4"/>
        <v>0.8255204326</v>
      </c>
      <c r="R29" s="53">
        <f t="shared" si="4"/>
        <v>0.7455788455</v>
      </c>
      <c r="S29" s="53">
        <f t="shared" si="4"/>
        <v>0.4595914515</v>
      </c>
      <c r="T29" s="53">
        <f t="shared" si="4"/>
        <v>0.3423576331</v>
      </c>
      <c r="U29" s="53">
        <f t="shared" si="4"/>
        <v>0.05232540244</v>
      </c>
      <c r="V29" s="53">
        <f t="shared" si="4"/>
        <v>0.9236014925</v>
      </c>
      <c r="W29" s="53">
        <f t="shared" si="4"/>
        <v>0.5522074138</v>
      </c>
      <c r="X29" s="53">
        <f t="shared" si="4"/>
        <v>0.3437778941</v>
      </c>
      <c r="Y29" s="53">
        <f t="shared" si="4"/>
        <v>0.38616147</v>
      </c>
      <c r="Z29" s="53">
        <f t="shared" si="4"/>
        <v>0.1255809659</v>
      </c>
    </row>
    <row r="30" ht="15.75" customHeight="1">
      <c r="B30" s="52" t="s">
        <v>18</v>
      </c>
      <c r="C30" s="53" t="str">
        <f t="shared" ref="C30:D30" si="5">(C27-$C$27)/($C$27)</f>
        <v>#DIV/0!</v>
      </c>
      <c r="D30" s="53" t="str">
        <f t="shared" si="5"/>
        <v>#DIV/0!</v>
      </c>
      <c r="E30" s="53">
        <f t="shared" ref="E30:Z30" si="6">(E27-$E$27)/($E$27)</f>
        <v>0</v>
      </c>
      <c r="F30" s="53">
        <f t="shared" si="6"/>
        <v>-0.8624423309</v>
      </c>
      <c r="G30" s="53">
        <f t="shared" si="6"/>
        <v>0.3027281028</v>
      </c>
      <c r="H30" s="53">
        <f t="shared" si="6"/>
        <v>-0.3549149969</v>
      </c>
      <c r="I30" s="53">
        <f t="shared" si="6"/>
        <v>-0.4700599519</v>
      </c>
      <c r="J30" s="53">
        <f t="shared" si="6"/>
        <v>-0.7030533411</v>
      </c>
      <c r="K30" s="53">
        <f t="shared" si="6"/>
        <v>-0.7744775155</v>
      </c>
      <c r="L30" s="53">
        <f t="shared" si="6"/>
        <v>-0.18651441</v>
      </c>
      <c r="M30" s="53">
        <f t="shared" si="6"/>
        <v>-0.3183962264</v>
      </c>
      <c r="N30" s="53">
        <f t="shared" si="6"/>
        <v>-0.5581991854</v>
      </c>
      <c r="O30" s="53">
        <f t="shared" si="6"/>
        <v>-0.6389547231</v>
      </c>
      <c r="P30" s="53">
        <f t="shared" si="6"/>
        <v>-0.7619194189</v>
      </c>
      <c r="Q30" s="53">
        <f t="shared" si="6"/>
        <v>-0.1744795674</v>
      </c>
      <c r="R30" s="53">
        <f t="shared" si="6"/>
        <v>-0.2544211545</v>
      </c>
      <c r="S30" s="53">
        <f t="shared" si="6"/>
        <v>-0.5404085485</v>
      </c>
      <c r="T30" s="53">
        <f t="shared" si="6"/>
        <v>-0.6576423669</v>
      </c>
      <c r="U30" s="53">
        <f t="shared" si="6"/>
        <v>-0.9476745976</v>
      </c>
      <c r="V30" s="53">
        <f t="shared" si="6"/>
        <v>-0.07639850753</v>
      </c>
      <c r="W30" s="53">
        <f t="shared" si="6"/>
        <v>-0.4477925862</v>
      </c>
      <c r="X30" s="53">
        <f t="shared" si="6"/>
        <v>-0.6562221059</v>
      </c>
      <c r="Y30" s="53">
        <f t="shared" si="6"/>
        <v>-0.61383853</v>
      </c>
      <c r="Z30" s="53">
        <f t="shared" si="6"/>
        <v>-0.8744190341</v>
      </c>
    </row>
    <row r="31" ht="15.75" customHeight="1"/>
    <row r="32" ht="15.75" customHeight="1">
      <c r="B32" s="54" t="s">
        <v>19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</row>
    <row r="33" ht="15.75" customHeight="1">
      <c r="B33" s="55" t="s">
        <v>20</v>
      </c>
      <c r="C33" s="56" t="s">
        <v>21</v>
      </c>
      <c r="D33" s="56" t="s">
        <v>22</v>
      </c>
      <c r="E33" s="57" t="s">
        <v>23</v>
      </c>
      <c r="F33" s="58"/>
      <c r="G33" s="57" t="s">
        <v>15</v>
      </c>
      <c r="H33" s="58"/>
      <c r="I33" s="59" t="s">
        <v>24</v>
      </c>
      <c r="J33" s="58"/>
      <c r="K33" s="59" t="s">
        <v>25</v>
      </c>
      <c r="L33" s="58"/>
      <c r="M33" s="59" t="s">
        <v>17</v>
      </c>
      <c r="N33" s="58"/>
      <c r="O33" s="59" t="s">
        <v>26</v>
      </c>
      <c r="P33" s="58"/>
      <c r="Q33" s="59" t="s">
        <v>27</v>
      </c>
      <c r="R33" s="60"/>
      <c r="S33" s="59" t="s">
        <v>18</v>
      </c>
      <c r="T33" s="60"/>
      <c r="U33" s="61"/>
      <c r="V33" s="61"/>
    </row>
    <row r="34" ht="15.75" customHeight="1">
      <c r="B34" s="28"/>
      <c r="C34" s="28"/>
      <c r="D34" s="28"/>
      <c r="E34" s="62"/>
      <c r="F34" s="63"/>
      <c r="G34" s="62"/>
      <c r="H34" s="63"/>
      <c r="I34" s="62"/>
      <c r="J34" s="63"/>
      <c r="K34" s="62"/>
      <c r="L34" s="63"/>
      <c r="M34" s="62"/>
      <c r="N34" s="63"/>
      <c r="O34" s="62"/>
      <c r="P34" s="63"/>
      <c r="Q34" s="62"/>
      <c r="R34" s="64"/>
      <c r="S34" s="62"/>
      <c r="T34" s="64"/>
      <c r="U34" s="61"/>
      <c r="V34" s="61"/>
    </row>
    <row r="35" ht="15.75" customHeight="1">
      <c r="B35" s="65" t="s">
        <v>3</v>
      </c>
      <c r="C35" s="66" t="s">
        <v>8</v>
      </c>
      <c r="D35" s="67">
        <v>1.0</v>
      </c>
      <c r="E35" s="68"/>
      <c r="F35" s="63"/>
      <c r="G35" s="69" t="str">
        <f>AVERAGE(E35:F36)</f>
        <v>#DIV/0!</v>
      </c>
      <c r="H35" s="70"/>
      <c r="I35" s="69" t="str">
        <f>(G35/10)*100</f>
        <v>#DIV/0!</v>
      </c>
      <c r="J35" s="70"/>
      <c r="K35" s="69" t="str">
        <f>(G35/$E$35)*100</f>
        <v>#DIV/0!</v>
      </c>
      <c r="L35" s="70"/>
      <c r="M35" s="69" t="str">
        <f>C29</f>
        <v>#DIV/0!</v>
      </c>
      <c r="N35" s="70"/>
      <c r="O35" s="69" t="str">
        <f>(K35*M35)/100</f>
        <v>#DIV/0!</v>
      </c>
      <c r="P35" s="70"/>
      <c r="Q35" s="69" t="str">
        <f>(O35-$O$35)/$O$35</f>
        <v>#DIV/0!</v>
      </c>
      <c r="R35" s="70"/>
      <c r="S35" s="69" t="str">
        <f t="array" ref="S35">INDEX($C$30:$Z$30, INT((ROW(A1)+1)/2))</f>
        <v>#DIV/0!</v>
      </c>
      <c r="T35" s="70"/>
    </row>
    <row r="36" ht="15.75" customHeight="1">
      <c r="B36" s="17"/>
      <c r="C36" s="28"/>
      <c r="D36" s="67">
        <v>2.0</v>
      </c>
      <c r="E36" s="68"/>
      <c r="F36" s="63"/>
      <c r="G36" s="64"/>
      <c r="H36" s="63"/>
      <c r="I36" s="64"/>
      <c r="J36" s="63"/>
      <c r="K36" s="64"/>
      <c r="L36" s="63"/>
      <c r="M36" s="64"/>
      <c r="N36" s="63"/>
      <c r="O36" s="64"/>
      <c r="P36" s="63"/>
      <c r="Q36" s="64"/>
      <c r="R36" s="63"/>
      <c r="S36" s="64"/>
      <c r="T36" s="63"/>
    </row>
    <row r="37" ht="15.75" customHeight="1">
      <c r="B37" s="17"/>
      <c r="C37" s="66" t="s">
        <v>9</v>
      </c>
      <c r="D37" s="67">
        <v>1.0</v>
      </c>
      <c r="E37" s="68"/>
      <c r="F37" s="63"/>
      <c r="G37" s="69" t="str">
        <f>AVERAGE(E37:F38)</f>
        <v>#DIV/0!</v>
      </c>
      <c r="H37" s="70"/>
      <c r="I37" s="69" t="str">
        <f>(G37/10)*100</f>
        <v>#DIV/0!</v>
      </c>
      <c r="J37" s="70"/>
      <c r="K37" s="69" t="str">
        <f>(G37/$E$35)*100</f>
        <v>#DIV/0!</v>
      </c>
      <c r="L37" s="70"/>
      <c r="M37" s="69" t="str">
        <f>D29</f>
        <v>#DIV/0!</v>
      </c>
      <c r="N37" s="70"/>
      <c r="O37" s="69" t="str">
        <f>(K37*M37)/100</f>
        <v>#DIV/0!</v>
      </c>
      <c r="P37" s="70"/>
      <c r="Q37" s="69" t="str">
        <f>(O37-$O$35)/$O$35</f>
        <v>#DIV/0!</v>
      </c>
      <c r="R37" s="70"/>
      <c r="S37" s="69" t="str">
        <f t="array" ref="S37">INDEX($C$30:$Z$30, INT((ROW(A3)+1)/2))</f>
        <v>#DIV/0!</v>
      </c>
      <c r="T37" s="70"/>
    </row>
    <row r="38" ht="15.75" customHeight="1">
      <c r="B38" s="17"/>
      <c r="C38" s="28"/>
      <c r="D38" s="67">
        <v>2.0</v>
      </c>
      <c r="E38" s="68"/>
      <c r="F38" s="63"/>
      <c r="G38" s="64"/>
      <c r="H38" s="63"/>
      <c r="I38" s="64"/>
      <c r="J38" s="63"/>
      <c r="K38" s="64"/>
      <c r="L38" s="63"/>
      <c r="M38" s="64"/>
      <c r="N38" s="63"/>
      <c r="O38" s="64"/>
      <c r="P38" s="63"/>
      <c r="Q38" s="64"/>
      <c r="R38" s="63"/>
      <c r="S38" s="64"/>
      <c r="T38" s="63"/>
    </row>
    <row r="39" ht="15.75" customHeight="1">
      <c r="B39" s="17"/>
      <c r="C39" s="66" t="s">
        <v>10</v>
      </c>
      <c r="D39" s="67">
        <v>1.0</v>
      </c>
      <c r="E39" s="68">
        <v>8.0</v>
      </c>
      <c r="F39" s="63"/>
      <c r="G39" s="69">
        <f>AVERAGE(E39:F40)</f>
        <v>8.5</v>
      </c>
      <c r="H39" s="70"/>
      <c r="I39" s="69">
        <f>(G39/10)*100</f>
        <v>85</v>
      </c>
      <c r="J39" s="70"/>
      <c r="K39" s="69">
        <f>(G39/$E$39)*100</f>
        <v>106.25</v>
      </c>
      <c r="L39" s="70"/>
      <c r="M39" s="69">
        <f>E29</f>
        <v>1</v>
      </c>
      <c r="N39" s="70"/>
      <c r="O39" s="69">
        <f>(K39*M39)/100</f>
        <v>1.0625</v>
      </c>
      <c r="P39" s="70"/>
      <c r="Q39" s="69">
        <f>(O39-$O$39)/$O$39</f>
        <v>0</v>
      </c>
      <c r="R39" s="70"/>
      <c r="S39" s="69">
        <f t="array" ref="S39">INDEX($C$30:$Z$30, INT((ROW(A5)+1)/2))</f>
        <v>0</v>
      </c>
      <c r="T39" s="70"/>
    </row>
    <row r="40" ht="15.75" customHeight="1">
      <c r="B40" s="17"/>
      <c r="C40" s="28"/>
      <c r="D40" s="67">
        <v>2.0</v>
      </c>
      <c r="E40" s="68">
        <v>9.0</v>
      </c>
      <c r="F40" s="63"/>
      <c r="G40" s="64"/>
      <c r="H40" s="63"/>
      <c r="I40" s="64"/>
      <c r="J40" s="63"/>
      <c r="K40" s="64"/>
      <c r="L40" s="63"/>
      <c r="M40" s="64"/>
      <c r="N40" s="63"/>
      <c r="O40" s="64"/>
      <c r="P40" s="63"/>
      <c r="Q40" s="64"/>
      <c r="R40" s="63"/>
      <c r="S40" s="64"/>
      <c r="T40" s="63"/>
    </row>
    <row r="41" ht="15.75" customHeight="1">
      <c r="B41" s="17"/>
      <c r="C41" s="66" t="s">
        <v>11</v>
      </c>
      <c r="D41" s="67">
        <v>1.0</v>
      </c>
      <c r="E41" s="68">
        <v>9.0</v>
      </c>
      <c r="F41" s="63"/>
      <c r="G41" s="69">
        <f>AVERAGE(E41:F42)</f>
        <v>4.5</v>
      </c>
      <c r="H41" s="70"/>
      <c r="I41" s="69">
        <f>(G41/10)*100</f>
        <v>45</v>
      </c>
      <c r="J41" s="70"/>
      <c r="K41" s="69">
        <f>(G41/$E$39)*100</f>
        <v>56.25</v>
      </c>
      <c r="L41" s="70"/>
      <c r="M41" s="69">
        <f>F29</f>
        <v>0.1375576691</v>
      </c>
      <c r="N41" s="70"/>
      <c r="O41" s="69">
        <f>(K41*M41)/100</f>
        <v>0.07737618886</v>
      </c>
      <c r="P41" s="70"/>
      <c r="Q41" s="69">
        <f>(G41-$G$39)/$G$39</f>
        <v>-0.4705882353</v>
      </c>
      <c r="R41" s="70"/>
      <c r="S41" s="69">
        <f t="array" ref="S41">INDEX($C$30:$Z$30, INT((ROW(A7)+1)/2))</f>
        <v>-0.8624423309</v>
      </c>
      <c r="T41" s="70"/>
    </row>
    <row r="42" ht="15.75" customHeight="1">
      <c r="B42" s="28"/>
      <c r="C42" s="28"/>
      <c r="D42" s="67">
        <v>2.0</v>
      </c>
      <c r="E42" s="71">
        <v>0.0</v>
      </c>
      <c r="F42" s="63"/>
      <c r="G42" s="64"/>
      <c r="H42" s="63"/>
      <c r="I42" s="64"/>
      <c r="J42" s="63"/>
      <c r="K42" s="64"/>
      <c r="L42" s="63"/>
      <c r="M42" s="64"/>
      <c r="N42" s="63"/>
      <c r="O42" s="64"/>
      <c r="P42" s="63"/>
      <c r="Q42" s="64"/>
      <c r="R42" s="63"/>
      <c r="S42" s="64"/>
      <c r="T42" s="63"/>
    </row>
    <row r="43" ht="15.75" customHeight="1">
      <c r="B43" s="72" t="s">
        <v>4</v>
      </c>
      <c r="C43" s="73">
        <v>0.0</v>
      </c>
      <c r="D43" s="74">
        <v>1.0</v>
      </c>
      <c r="E43" s="68">
        <v>9.0</v>
      </c>
      <c r="F43" s="63"/>
      <c r="G43" s="69">
        <f>AVERAGE(E43:F44)</f>
        <v>9</v>
      </c>
      <c r="H43" s="70"/>
      <c r="I43" s="69">
        <f>(G43/10)*100</f>
        <v>90</v>
      </c>
      <c r="J43" s="70"/>
      <c r="K43" s="69">
        <f>(G43/$E$39)*100</f>
        <v>112.5</v>
      </c>
      <c r="L43" s="70"/>
      <c r="M43" s="69">
        <f>G29</f>
        <v>1.302728103</v>
      </c>
      <c r="N43" s="70"/>
      <c r="O43" s="69">
        <f>(K43*M43)/100</f>
        <v>1.465569116</v>
      </c>
      <c r="P43" s="70"/>
      <c r="Q43" s="69">
        <f>(O43-$O$39)/$O$39</f>
        <v>0.3793591677</v>
      </c>
      <c r="R43" s="70"/>
      <c r="S43" s="69">
        <f t="array" ref="S43">INDEX($C$30:$Z$30, INT((ROW(A9)+1)/2))</f>
        <v>0.3027281028</v>
      </c>
      <c r="T43" s="70"/>
    </row>
    <row r="44" ht="15.75" customHeight="1">
      <c r="B44" s="17"/>
      <c r="C44" s="28"/>
      <c r="D44" s="74">
        <v>2.0</v>
      </c>
      <c r="E44" s="68"/>
      <c r="F44" s="63"/>
      <c r="G44" s="64"/>
      <c r="H44" s="63"/>
      <c r="I44" s="64"/>
      <c r="J44" s="63"/>
      <c r="K44" s="64"/>
      <c r="L44" s="63"/>
      <c r="M44" s="64"/>
      <c r="N44" s="63"/>
      <c r="O44" s="64"/>
      <c r="P44" s="63"/>
      <c r="Q44" s="64"/>
      <c r="R44" s="63"/>
      <c r="S44" s="64"/>
      <c r="T44" s="63"/>
    </row>
    <row r="45" ht="15.75" customHeight="1">
      <c r="B45" s="17"/>
      <c r="C45" s="73">
        <v>25.0</v>
      </c>
      <c r="D45" s="74">
        <v>1.0</v>
      </c>
      <c r="E45" s="68">
        <v>8.0</v>
      </c>
      <c r="F45" s="63"/>
      <c r="G45" s="69">
        <f>AVERAGE(E45:F46)</f>
        <v>9</v>
      </c>
      <c r="H45" s="70"/>
      <c r="I45" s="69">
        <f>(G45/10)*100</f>
        <v>90</v>
      </c>
      <c r="J45" s="70"/>
      <c r="K45" s="69">
        <f>(G45/$E$39)*100</f>
        <v>112.5</v>
      </c>
      <c r="L45" s="70"/>
      <c r="M45" s="69">
        <f>H29</f>
        <v>0.6450850031</v>
      </c>
      <c r="N45" s="70"/>
      <c r="O45" s="69">
        <f>(K45*M45)/100</f>
        <v>0.7257206285</v>
      </c>
      <c r="P45" s="70"/>
      <c r="Q45" s="69">
        <f>(O45-$O$39)/$O$39</f>
        <v>-0.3169688202</v>
      </c>
      <c r="R45" s="70"/>
      <c r="S45" s="69">
        <f t="array" ref="S45">INDEX($C$30:$Z$30, INT((ROW(A11)+1)/2))</f>
        <v>-0.3549149969</v>
      </c>
      <c r="T45" s="70"/>
    </row>
    <row r="46" ht="15.75" customHeight="1">
      <c r="B46" s="17"/>
      <c r="C46" s="28"/>
      <c r="D46" s="74">
        <v>2.0</v>
      </c>
      <c r="E46" s="68">
        <v>10.0</v>
      </c>
      <c r="F46" s="63"/>
      <c r="G46" s="64"/>
      <c r="H46" s="63"/>
      <c r="I46" s="64"/>
      <c r="J46" s="63"/>
      <c r="K46" s="64"/>
      <c r="L46" s="63"/>
      <c r="M46" s="64"/>
      <c r="N46" s="63"/>
      <c r="O46" s="64"/>
      <c r="P46" s="63"/>
      <c r="Q46" s="64"/>
      <c r="R46" s="63"/>
      <c r="S46" s="64"/>
      <c r="T46" s="63"/>
    </row>
    <row r="47" ht="15.75" customHeight="1">
      <c r="B47" s="17"/>
      <c r="C47" s="73">
        <v>50.0</v>
      </c>
      <c r="D47" s="74">
        <v>1.0</v>
      </c>
      <c r="E47" s="68">
        <v>4.0</v>
      </c>
      <c r="F47" s="63"/>
      <c r="G47" s="69">
        <f>AVERAGE(E47:F48)</f>
        <v>4.5</v>
      </c>
      <c r="H47" s="70"/>
      <c r="I47" s="69">
        <f>(G47/10)*100</f>
        <v>45</v>
      </c>
      <c r="J47" s="70"/>
      <c r="K47" s="69">
        <f>(G47/$E$39)*100</f>
        <v>56.25</v>
      </c>
      <c r="L47" s="70"/>
      <c r="M47" s="69">
        <f>I29</f>
        <v>0.5299400481</v>
      </c>
      <c r="N47" s="70"/>
      <c r="O47" s="69">
        <f>(K47*M47)/100</f>
        <v>0.298091277</v>
      </c>
      <c r="P47" s="70"/>
      <c r="Q47" s="69">
        <f>(O47-$O$39)/$O$39</f>
        <v>-0.719443504</v>
      </c>
      <c r="R47" s="70"/>
      <c r="S47" s="69">
        <f t="array" ref="S47">INDEX($C$30:$Z$30, INT((ROW(A13)+1)/2))</f>
        <v>-0.4700599519</v>
      </c>
      <c r="T47" s="70"/>
    </row>
    <row r="48" ht="15.75" customHeight="1">
      <c r="B48" s="17"/>
      <c r="C48" s="28"/>
      <c r="D48" s="74">
        <v>2.0</v>
      </c>
      <c r="E48" s="68">
        <v>5.0</v>
      </c>
      <c r="F48" s="63"/>
      <c r="G48" s="64"/>
      <c r="H48" s="63"/>
      <c r="I48" s="64"/>
      <c r="J48" s="63"/>
      <c r="K48" s="64"/>
      <c r="L48" s="63"/>
      <c r="M48" s="64"/>
      <c r="N48" s="63"/>
      <c r="O48" s="64"/>
      <c r="P48" s="63"/>
      <c r="Q48" s="64"/>
      <c r="R48" s="63"/>
      <c r="S48" s="64"/>
      <c r="T48" s="63"/>
    </row>
    <row r="49" ht="15.75" customHeight="1">
      <c r="B49" s="17"/>
      <c r="C49" s="73">
        <v>75.0</v>
      </c>
      <c r="D49" s="74">
        <v>1.0</v>
      </c>
      <c r="E49" s="68">
        <v>3.0</v>
      </c>
      <c r="F49" s="63"/>
      <c r="G49" s="69">
        <f>AVERAGE(E49:F50)</f>
        <v>5</v>
      </c>
      <c r="H49" s="70"/>
      <c r="I49" s="69">
        <f>(G49/10)*100</f>
        <v>50</v>
      </c>
      <c r="J49" s="70"/>
      <c r="K49" s="69">
        <f>(G49/$E$39)*100</f>
        <v>62.5</v>
      </c>
      <c r="L49" s="70"/>
      <c r="M49" s="69">
        <f>J29</f>
        <v>0.2969466589</v>
      </c>
      <c r="N49" s="70"/>
      <c r="O49" s="69">
        <f>(K49*M49)/100</f>
        <v>0.1855916618</v>
      </c>
      <c r="P49" s="70"/>
      <c r="Q49" s="69">
        <f>(O49-$O$39)/$O$39</f>
        <v>-0.8253254948</v>
      </c>
      <c r="R49" s="70"/>
      <c r="S49" s="69">
        <f t="array" ref="S49">INDEX($C$30:$Z$30, INT((ROW(A15)+1)/2))</f>
        <v>-0.7030533411</v>
      </c>
      <c r="T49" s="70"/>
    </row>
    <row r="50" ht="15.75" customHeight="1">
      <c r="A50" s="75"/>
      <c r="B50" s="17"/>
      <c r="C50" s="28"/>
      <c r="D50" s="74">
        <v>2.0</v>
      </c>
      <c r="E50" s="68">
        <v>7.0</v>
      </c>
      <c r="F50" s="63"/>
      <c r="G50" s="64"/>
      <c r="H50" s="63"/>
      <c r="I50" s="64"/>
      <c r="J50" s="63"/>
      <c r="K50" s="64"/>
      <c r="L50" s="63"/>
      <c r="M50" s="64"/>
      <c r="N50" s="63"/>
      <c r="O50" s="64"/>
      <c r="P50" s="63"/>
      <c r="Q50" s="64"/>
      <c r="R50" s="63"/>
      <c r="S50" s="64"/>
      <c r="T50" s="63"/>
    </row>
    <row r="51" ht="15.75" customHeight="1">
      <c r="A51" s="75"/>
      <c r="B51" s="17"/>
      <c r="C51" s="73">
        <v>100.0</v>
      </c>
      <c r="D51" s="74">
        <v>1.0</v>
      </c>
      <c r="E51" s="77">
        <v>1.0</v>
      </c>
      <c r="F51" s="10"/>
      <c r="G51" s="69">
        <f>AVERAGE(E51:F52)</f>
        <v>1</v>
      </c>
      <c r="H51" s="70"/>
      <c r="I51" s="69">
        <f>(G51/10)*100</f>
        <v>10</v>
      </c>
      <c r="J51" s="70"/>
      <c r="K51" s="69">
        <f>(G51/$E$39)*100</f>
        <v>12.5</v>
      </c>
      <c r="L51" s="70"/>
      <c r="M51" s="69">
        <f>K29</f>
        <v>0.2255224845</v>
      </c>
      <c r="N51" s="70"/>
      <c r="O51" s="69">
        <f>(K51*M51)/100</f>
        <v>0.02819031057</v>
      </c>
      <c r="P51" s="70"/>
      <c r="Q51" s="69">
        <f>(O51-$O$39)/$O$39</f>
        <v>-0.973467943</v>
      </c>
      <c r="R51" s="70"/>
      <c r="S51" s="69">
        <f t="array" ref="S51">INDEX($C$30:$Z$30, INT((ROW(A17)+1)/2))</f>
        <v>-0.7744775155</v>
      </c>
      <c r="T51" s="70"/>
    </row>
    <row r="52" ht="15.75" customHeight="1">
      <c r="A52" s="75"/>
      <c r="B52" s="28"/>
      <c r="C52" s="28"/>
      <c r="D52" s="74">
        <v>2.0</v>
      </c>
      <c r="E52" s="77">
        <v>1.0</v>
      </c>
      <c r="F52" s="10"/>
      <c r="G52" s="64"/>
      <c r="H52" s="63"/>
      <c r="I52" s="64"/>
      <c r="J52" s="63"/>
      <c r="K52" s="64"/>
      <c r="L52" s="63"/>
      <c r="M52" s="64"/>
      <c r="N52" s="63"/>
      <c r="O52" s="64"/>
      <c r="P52" s="63"/>
      <c r="Q52" s="64"/>
      <c r="R52" s="63"/>
      <c r="S52" s="64"/>
      <c r="T52" s="63"/>
    </row>
    <row r="53" ht="15.75" customHeight="1">
      <c r="A53" s="75"/>
      <c r="B53" s="78" t="s">
        <v>5</v>
      </c>
      <c r="C53" s="79">
        <v>0.0</v>
      </c>
      <c r="D53" s="80">
        <v>1.0</v>
      </c>
      <c r="E53" s="77">
        <v>6.0</v>
      </c>
      <c r="F53" s="10"/>
      <c r="G53" s="69">
        <f>AVERAGE(E53:F54)</f>
        <v>8</v>
      </c>
      <c r="H53" s="70"/>
      <c r="I53" s="69">
        <f>(G53/10)*100</f>
        <v>80</v>
      </c>
      <c r="J53" s="70"/>
      <c r="K53" s="69">
        <f>(G53/$E$39)*100</f>
        <v>100</v>
      </c>
      <c r="L53" s="70"/>
      <c r="M53" s="69">
        <f>L29</f>
        <v>0.81348559</v>
      </c>
      <c r="N53" s="70"/>
      <c r="O53" s="69">
        <f>(K53*M53)/100</f>
        <v>0.81348559</v>
      </c>
      <c r="P53" s="70"/>
      <c r="Q53" s="69">
        <f>(O53-$O$39)/$O$39</f>
        <v>-0.2343665035</v>
      </c>
      <c r="R53" s="70"/>
      <c r="S53" s="69">
        <f t="array" ref="S53">INDEX($C$30:$Z$30, INT((ROW(A19)+1)/2))</f>
        <v>-0.18651441</v>
      </c>
      <c r="T53" s="70"/>
    </row>
    <row r="54" ht="15.75" customHeight="1">
      <c r="A54" s="75"/>
      <c r="B54" s="17"/>
      <c r="C54" s="28"/>
      <c r="D54" s="80">
        <v>2.0</v>
      </c>
      <c r="E54" s="77">
        <v>10.0</v>
      </c>
      <c r="F54" s="10"/>
      <c r="G54" s="64"/>
      <c r="H54" s="63"/>
      <c r="I54" s="64"/>
      <c r="J54" s="63"/>
      <c r="K54" s="64"/>
      <c r="L54" s="63"/>
      <c r="M54" s="64"/>
      <c r="N54" s="63"/>
      <c r="O54" s="64"/>
      <c r="P54" s="63"/>
      <c r="Q54" s="64"/>
      <c r="R54" s="63"/>
      <c r="S54" s="64"/>
      <c r="T54" s="63"/>
    </row>
    <row r="55" ht="15.75" customHeight="1">
      <c r="A55" s="75"/>
      <c r="B55" s="17"/>
      <c r="C55" s="79">
        <v>25.0</v>
      </c>
      <c r="D55" s="80">
        <v>1.0</v>
      </c>
      <c r="E55" s="77">
        <v>7.0</v>
      </c>
      <c r="F55" s="10"/>
      <c r="G55" s="69">
        <f>AVERAGE(E55:F56)</f>
        <v>7.5</v>
      </c>
      <c r="H55" s="70"/>
      <c r="I55" s="69">
        <f>(G55/10)*100</f>
        <v>75</v>
      </c>
      <c r="J55" s="70"/>
      <c r="K55" s="69">
        <f>(G55/$E$39)*100</f>
        <v>93.75</v>
      </c>
      <c r="L55" s="70"/>
      <c r="M55" s="69">
        <f>M29</f>
        <v>0.6816037736</v>
      </c>
      <c r="N55" s="70"/>
      <c r="O55" s="69">
        <f>(K55*M55)/100</f>
        <v>0.6390035377</v>
      </c>
      <c r="P55" s="70"/>
      <c r="Q55" s="69">
        <f>(O55-$O$39)/$O$39</f>
        <v>-0.3985849057</v>
      </c>
      <c r="R55" s="70"/>
      <c r="S55" s="69">
        <f t="array" ref="S55">INDEX($C$30:$Z$30, INT((ROW(A21)+1)/2))</f>
        <v>-0.3183962264</v>
      </c>
      <c r="T55" s="70"/>
    </row>
    <row r="56" ht="15.75" customHeight="1">
      <c r="A56" s="75"/>
      <c r="B56" s="17"/>
      <c r="C56" s="28"/>
      <c r="D56" s="80">
        <v>2.0</v>
      </c>
      <c r="E56" s="77">
        <v>8.0</v>
      </c>
      <c r="F56" s="10"/>
      <c r="G56" s="64"/>
      <c r="H56" s="63"/>
      <c r="I56" s="64"/>
      <c r="J56" s="63"/>
      <c r="K56" s="64"/>
      <c r="L56" s="63"/>
      <c r="M56" s="64"/>
      <c r="N56" s="63"/>
      <c r="O56" s="64"/>
      <c r="P56" s="63"/>
      <c r="Q56" s="64"/>
      <c r="R56" s="63"/>
      <c r="S56" s="64"/>
      <c r="T56" s="63"/>
    </row>
    <row r="57" ht="15.75" customHeight="1">
      <c r="A57" s="75"/>
      <c r="B57" s="17"/>
      <c r="C57" s="79">
        <v>50.0</v>
      </c>
      <c r="D57" s="80">
        <v>1.0</v>
      </c>
      <c r="E57" s="77">
        <v>5.0</v>
      </c>
      <c r="F57" s="10"/>
      <c r="G57" s="69">
        <f>AVERAGE(E57:F58)</f>
        <v>6</v>
      </c>
      <c r="H57" s="70"/>
      <c r="I57" s="69">
        <f>(G57/10)*100</f>
        <v>60</v>
      </c>
      <c r="J57" s="70"/>
      <c r="K57" s="69">
        <f>(G57/$E$39)*100</f>
        <v>75</v>
      </c>
      <c r="L57" s="70"/>
      <c r="M57" s="69">
        <f>N29</f>
        <v>0.4418008146</v>
      </c>
      <c r="N57" s="70"/>
      <c r="O57" s="69">
        <f>(K57*M57)/100</f>
        <v>0.331350611</v>
      </c>
      <c r="P57" s="70"/>
      <c r="Q57" s="69">
        <f>(O57-$O$39)/$O$39</f>
        <v>-0.6881406014</v>
      </c>
      <c r="R57" s="70"/>
      <c r="S57" s="69">
        <f t="array" ref="S57">INDEX($C$30:$Z$30, INT((ROW(A23)+1)/2))</f>
        <v>-0.5581991854</v>
      </c>
      <c r="T57" s="70"/>
    </row>
    <row r="58" ht="15.75" customHeight="1">
      <c r="A58" s="75"/>
      <c r="B58" s="17"/>
      <c r="C58" s="28"/>
      <c r="D58" s="80">
        <v>2.0</v>
      </c>
      <c r="E58" s="77">
        <v>7.0</v>
      </c>
      <c r="F58" s="10"/>
      <c r="G58" s="64"/>
      <c r="H58" s="63"/>
      <c r="I58" s="64"/>
      <c r="J58" s="63"/>
      <c r="K58" s="64"/>
      <c r="L58" s="63"/>
      <c r="M58" s="64"/>
      <c r="N58" s="63"/>
      <c r="O58" s="64"/>
      <c r="P58" s="63"/>
      <c r="Q58" s="64"/>
      <c r="R58" s="63"/>
      <c r="S58" s="64"/>
      <c r="T58" s="63"/>
    </row>
    <row r="59" ht="15.75" customHeight="1">
      <c r="A59" s="81"/>
      <c r="B59" s="17"/>
      <c r="C59" s="79">
        <v>75.0</v>
      </c>
      <c r="D59" s="80">
        <v>1.0</v>
      </c>
      <c r="E59" s="77">
        <v>7.0</v>
      </c>
      <c r="F59" s="10"/>
      <c r="G59" s="69">
        <f>AVERAGE(E59:F60)</f>
        <v>7.5</v>
      </c>
      <c r="H59" s="70"/>
      <c r="I59" s="69">
        <f>(G59/10)*100</f>
        <v>75</v>
      </c>
      <c r="J59" s="70"/>
      <c r="K59" s="69">
        <f>(G59/$E$39)*100</f>
        <v>93.75</v>
      </c>
      <c r="L59" s="70"/>
      <c r="M59" s="69">
        <f>O29</f>
        <v>0.3610452769</v>
      </c>
      <c r="N59" s="70"/>
      <c r="O59" s="69">
        <f>(K59*M59)/100</f>
        <v>0.3384799471</v>
      </c>
      <c r="P59" s="70"/>
      <c r="Q59" s="69">
        <f>(O59-$O$39)/$O$39</f>
        <v>-0.6814306381</v>
      </c>
      <c r="R59" s="70"/>
      <c r="S59" s="69">
        <f t="array" ref="S59">INDEX($C$30:$Z$30, INT((ROW(A25)+1)/2))</f>
        <v>-0.6389547231</v>
      </c>
      <c r="T59" s="70"/>
    </row>
    <row r="60" ht="15.75" customHeight="1">
      <c r="A60" s="81"/>
      <c r="B60" s="17"/>
      <c r="C60" s="28"/>
      <c r="D60" s="80">
        <v>2.0</v>
      </c>
      <c r="E60" s="77">
        <v>8.0</v>
      </c>
      <c r="F60" s="10"/>
      <c r="G60" s="64"/>
      <c r="H60" s="63"/>
      <c r="I60" s="64"/>
      <c r="J60" s="63"/>
      <c r="K60" s="64"/>
      <c r="L60" s="63"/>
      <c r="M60" s="64"/>
      <c r="N60" s="63"/>
      <c r="O60" s="64"/>
      <c r="P60" s="63"/>
      <c r="Q60" s="64"/>
      <c r="R60" s="63"/>
      <c r="S60" s="64"/>
      <c r="T60" s="63"/>
    </row>
    <row r="61" ht="15.75" customHeight="1">
      <c r="B61" s="17"/>
      <c r="C61" s="79">
        <v>100.0</v>
      </c>
      <c r="D61" s="80">
        <v>1.0</v>
      </c>
      <c r="E61" s="77">
        <v>1.0</v>
      </c>
      <c r="F61" s="10"/>
      <c r="G61" s="69">
        <f>AVERAGE(E61:F62)</f>
        <v>1.5</v>
      </c>
      <c r="H61" s="70"/>
      <c r="I61" s="69">
        <f>(G61/10)*100</f>
        <v>15</v>
      </c>
      <c r="J61" s="70"/>
      <c r="K61" s="69">
        <f>(G61/$E$39)*100</f>
        <v>18.75</v>
      </c>
      <c r="L61" s="70"/>
      <c r="M61" s="69">
        <f>P29</f>
        <v>0.2380805811</v>
      </c>
      <c r="N61" s="70"/>
      <c r="O61" s="69">
        <f>(K61*M61)/100</f>
        <v>0.04464010896</v>
      </c>
      <c r="P61" s="70"/>
      <c r="Q61" s="69">
        <f>(O61-$O$39)/$O$39</f>
        <v>-0.9579857798</v>
      </c>
      <c r="R61" s="70"/>
      <c r="S61" s="69">
        <f t="array" ref="S61">INDEX($C$30:$Z$30, INT((ROW(A27)+1)/2))</f>
        <v>-0.7619194189</v>
      </c>
      <c r="T61" s="70"/>
    </row>
    <row r="62" ht="15.75" customHeight="1">
      <c r="B62" s="28"/>
      <c r="C62" s="28"/>
      <c r="D62" s="80">
        <v>2.0</v>
      </c>
      <c r="E62" s="77">
        <v>2.0</v>
      </c>
      <c r="F62" s="10"/>
      <c r="G62" s="64"/>
      <c r="H62" s="63"/>
      <c r="I62" s="64"/>
      <c r="J62" s="63"/>
      <c r="K62" s="64"/>
      <c r="L62" s="63"/>
      <c r="M62" s="64"/>
      <c r="N62" s="63"/>
      <c r="O62" s="64"/>
      <c r="P62" s="63"/>
      <c r="Q62" s="64"/>
      <c r="R62" s="63"/>
      <c r="S62" s="64"/>
      <c r="T62" s="63"/>
    </row>
    <row r="63" ht="15.75" customHeight="1">
      <c r="B63" s="82" t="s">
        <v>6</v>
      </c>
      <c r="C63" s="83">
        <v>0.0</v>
      </c>
      <c r="D63" s="84">
        <v>1.0</v>
      </c>
      <c r="E63" s="77">
        <v>9.0</v>
      </c>
      <c r="F63" s="10"/>
      <c r="G63" s="69">
        <f>AVERAGE(E63:F64)</f>
        <v>7.5</v>
      </c>
      <c r="H63" s="70"/>
      <c r="I63" s="69">
        <f>(G63/10)*100</f>
        <v>75</v>
      </c>
      <c r="J63" s="70"/>
      <c r="K63" s="69">
        <f>(G63/$E$39)*100</f>
        <v>93.75</v>
      </c>
      <c r="L63" s="70"/>
      <c r="M63" s="69">
        <f>Q29</f>
        <v>0.8255204326</v>
      </c>
      <c r="N63" s="70"/>
      <c r="O63" s="69">
        <f>(K63*M63)/100</f>
        <v>0.7739254055</v>
      </c>
      <c r="P63" s="70"/>
      <c r="Q63" s="69">
        <f>(O63-$O$39)/$O$39</f>
        <v>-0.2715996183</v>
      </c>
      <c r="R63" s="70"/>
      <c r="S63" s="69">
        <f t="array" ref="S63">INDEX($C$30:$Z$30, INT((ROW(A29)+1)/2))</f>
        <v>-0.1744795674</v>
      </c>
      <c r="T63" s="70"/>
    </row>
    <row r="64" ht="15.75" customHeight="1">
      <c r="B64" s="17"/>
      <c r="C64" s="28"/>
      <c r="D64" s="84">
        <v>2.0</v>
      </c>
      <c r="E64" s="77">
        <v>6.0</v>
      </c>
      <c r="F64" s="10"/>
      <c r="G64" s="64"/>
      <c r="H64" s="63"/>
      <c r="I64" s="64"/>
      <c r="J64" s="63"/>
      <c r="K64" s="64"/>
      <c r="L64" s="63"/>
      <c r="M64" s="64"/>
      <c r="N64" s="63"/>
      <c r="O64" s="64"/>
      <c r="P64" s="63"/>
      <c r="Q64" s="64"/>
      <c r="R64" s="63"/>
      <c r="S64" s="64"/>
      <c r="T64" s="63"/>
    </row>
    <row r="65" ht="15.75" customHeight="1">
      <c r="B65" s="17"/>
      <c r="C65" s="83">
        <v>25.0</v>
      </c>
      <c r="D65" s="84">
        <v>1.0</v>
      </c>
      <c r="E65" s="77">
        <v>9.0</v>
      </c>
      <c r="F65" s="10"/>
      <c r="G65" s="69">
        <f>AVERAGE(E65:F66)</f>
        <v>8.5</v>
      </c>
      <c r="H65" s="70"/>
      <c r="I65" s="69">
        <f>(G65/10)*100</f>
        <v>85</v>
      </c>
      <c r="J65" s="70"/>
      <c r="K65" s="69">
        <f>(G65/$E$39)*100</f>
        <v>106.25</v>
      </c>
      <c r="L65" s="70"/>
      <c r="M65" s="69">
        <f>R29</f>
        <v>0.7455788455</v>
      </c>
      <c r="N65" s="70"/>
      <c r="O65" s="69">
        <f>(K65*M65)/100</f>
        <v>0.7921775233</v>
      </c>
      <c r="P65" s="70"/>
      <c r="Q65" s="69">
        <f>(O65-$O$39)/$O$39</f>
        <v>-0.2544211545</v>
      </c>
      <c r="R65" s="70"/>
      <c r="S65" s="69">
        <f t="array" ref="S65">INDEX($C$30:$Z$30, INT((ROW(A31)+1)/2))</f>
        <v>-0.2544211545</v>
      </c>
      <c r="T65" s="70"/>
    </row>
    <row r="66" ht="15.75" customHeight="1">
      <c r="B66" s="17"/>
      <c r="C66" s="28"/>
      <c r="D66" s="84">
        <v>2.0</v>
      </c>
      <c r="E66" s="77">
        <v>8.0</v>
      </c>
      <c r="F66" s="10"/>
      <c r="G66" s="64"/>
      <c r="H66" s="63"/>
      <c r="I66" s="64"/>
      <c r="J66" s="63"/>
      <c r="K66" s="64"/>
      <c r="L66" s="63"/>
      <c r="M66" s="64"/>
      <c r="N66" s="63"/>
      <c r="O66" s="64"/>
      <c r="P66" s="63"/>
      <c r="Q66" s="64"/>
      <c r="R66" s="63"/>
      <c r="S66" s="64"/>
      <c r="T66" s="63"/>
    </row>
    <row r="67" ht="15.75" customHeight="1">
      <c r="B67" s="17"/>
      <c r="C67" s="83">
        <v>50.0</v>
      </c>
      <c r="D67" s="84">
        <v>1.0</v>
      </c>
      <c r="E67" s="77">
        <v>5.0</v>
      </c>
      <c r="F67" s="10"/>
      <c r="G67" s="69">
        <f>AVERAGE(E67:F68)</f>
        <v>5.5</v>
      </c>
      <c r="H67" s="70"/>
      <c r="I67" s="69">
        <f>(G67/10)*100</f>
        <v>55</v>
      </c>
      <c r="J67" s="70"/>
      <c r="K67" s="69">
        <f>(G67/$E$39)*100</f>
        <v>68.75</v>
      </c>
      <c r="L67" s="70"/>
      <c r="M67" s="69">
        <f>S29</f>
        <v>0.4595914515</v>
      </c>
      <c r="N67" s="70"/>
      <c r="O67" s="69">
        <f>(K67*M67)/100</f>
        <v>0.3159691229</v>
      </c>
      <c r="P67" s="70"/>
      <c r="Q67" s="69">
        <f>(O67-$O$39)/$O$39</f>
        <v>-0.7026172961</v>
      </c>
      <c r="R67" s="70"/>
      <c r="S67" s="69">
        <f t="array" ref="S67">INDEX($C$30:$Z$30, INT((ROW(A33)+1)/2))</f>
        <v>-0.5404085485</v>
      </c>
      <c r="T67" s="70"/>
    </row>
    <row r="68" ht="15.75" customHeight="1">
      <c r="B68" s="17"/>
      <c r="C68" s="28"/>
      <c r="D68" s="84">
        <v>2.0</v>
      </c>
      <c r="E68" s="77">
        <v>6.0</v>
      </c>
      <c r="F68" s="10"/>
      <c r="G68" s="64"/>
      <c r="H68" s="63"/>
      <c r="I68" s="64"/>
      <c r="J68" s="63"/>
      <c r="K68" s="64"/>
      <c r="L68" s="63"/>
      <c r="M68" s="64"/>
      <c r="N68" s="63"/>
      <c r="O68" s="64"/>
      <c r="P68" s="63"/>
      <c r="Q68" s="64"/>
      <c r="R68" s="63"/>
      <c r="S68" s="64"/>
      <c r="T68" s="63"/>
    </row>
    <row r="69" ht="15.75" customHeight="1">
      <c r="B69" s="17"/>
      <c r="C69" s="83">
        <v>75.0</v>
      </c>
      <c r="D69" s="84">
        <v>1.0</v>
      </c>
      <c r="E69" s="77">
        <v>4.0</v>
      </c>
      <c r="F69" s="10"/>
      <c r="G69" s="69">
        <f>AVERAGE(E69:F70)</f>
        <v>3.5</v>
      </c>
      <c r="H69" s="70"/>
      <c r="I69" s="69">
        <f>(G69/10)*100</f>
        <v>35</v>
      </c>
      <c r="J69" s="70"/>
      <c r="K69" s="69">
        <f>(G69/$E$39)*100</f>
        <v>43.75</v>
      </c>
      <c r="L69" s="70"/>
      <c r="M69" s="69">
        <f>T29</f>
        <v>0.3423576331</v>
      </c>
      <c r="N69" s="70"/>
      <c r="O69" s="69">
        <f>(K69*M69)/100</f>
        <v>0.1497814645</v>
      </c>
      <c r="P69" s="70"/>
      <c r="Q69" s="69">
        <f>(O69-$O$39)/$O$39</f>
        <v>-0.8590292099</v>
      </c>
      <c r="R69" s="70"/>
      <c r="S69" s="69">
        <f t="array" ref="S69">INDEX($C$30:$Z$30, INT((ROW(A35)+1)/2))</f>
        <v>-0.6576423669</v>
      </c>
      <c r="T69" s="70"/>
    </row>
    <row r="70" ht="15.75" customHeight="1">
      <c r="B70" s="17"/>
      <c r="C70" s="28"/>
      <c r="D70" s="84">
        <v>2.0</v>
      </c>
      <c r="E70" s="77">
        <v>3.0</v>
      </c>
      <c r="F70" s="10"/>
      <c r="G70" s="64"/>
      <c r="H70" s="63"/>
      <c r="I70" s="64"/>
      <c r="J70" s="63"/>
      <c r="K70" s="64"/>
      <c r="L70" s="63"/>
      <c r="M70" s="64"/>
      <c r="N70" s="63"/>
      <c r="O70" s="64"/>
      <c r="P70" s="63"/>
      <c r="Q70" s="64"/>
      <c r="R70" s="63"/>
      <c r="S70" s="64"/>
      <c r="T70" s="63"/>
    </row>
    <row r="71" ht="15.75" customHeight="1">
      <c r="B71" s="17"/>
      <c r="C71" s="83">
        <v>100.0</v>
      </c>
      <c r="D71" s="84">
        <v>1.0</v>
      </c>
      <c r="E71" s="77">
        <v>1.0</v>
      </c>
      <c r="F71" s="10"/>
      <c r="G71" s="69">
        <f>AVERAGE(E71:F72)</f>
        <v>1</v>
      </c>
      <c r="H71" s="70"/>
      <c r="I71" s="69">
        <f>(G71/10)*100</f>
        <v>10</v>
      </c>
      <c r="J71" s="70"/>
      <c r="K71" s="69">
        <f>(G71/$E$39)*100</f>
        <v>12.5</v>
      </c>
      <c r="L71" s="70"/>
      <c r="M71" s="69">
        <f>U29</f>
        <v>0.05232540244</v>
      </c>
      <c r="N71" s="70"/>
      <c r="O71" s="69">
        <f>(K71*M71)/100</f>
        <v>0.006540675305</v>
      </c>
      <c r="P71" s="70"/>
      <c r="Q71" s="69">
        <f>(O71-$O$39)/$O$39</f>
        <v>-0.9938440703</v>
      </c>
      <c r="R71" s="70"/>
      <c r="S71" s="69">
        <f t="array" ref="S71">INDEX($C$30:$Z$30, INT((ROW(A37)+1)/2))</f>
        <v>-0.9476745976</v>
      </c>
      <c r="T71" s="70"/>
    </row>
    <row r="72" ht="15.75" customHeight="1">
      <c r="B72" s="28"/>
      <c r="C72" s="28"/>
      <c r="D72" s="84">
        <v>2.0</v>
      </c>
      <c r="E72" s="77"/>
      <c r="F72" s="10"/>
      <c r="G72" s="64"/>
      <c r="H72" s="63"/>
      <c r="I72" s="64"/>
      <c r="J72" s="63"/>
      <c r="K72" s="64"/>
      <c r="L72" s="63"/>
      <c r="M72" s="64"/>
      <c r="N72" s="63"/>
      <c r="O72" s="64"/>
      <c r="P72" s="63"/>
      <c r="Q72" s="64"/>
      <c r="R72" s="63"/>
      <c r="S72" s="64"/>
      <c r="T72" s="63"/>
    </row>
    <row r="73" ht="15.75" customHeight="1">
      <c r="B73" s="85" t="s">
        <v>7</v>
      </c>
      <c r="C73" s="86">
        <v>0.0</v>
      </c>
      <c r="D73" s="87">
        <v>1.0</v>
      </c>
      <c r="E73" s="77">
        <v>10.0</v>
      </c>
      <c r="F73" s="10"/>
      <c r="G73" s="69">
        <f>AVERAGE(E73:F74)</f>
        <v>9.5</v>
      </c>
      <c r="H73" s="70"/>
      <c r="I73" s="69">
        <f>(G73/10)*100</f>
        <v>95</v>
      </c>
      <c r="J73" s="70"/>
      <c r="K73" s="69">
        <f>(G73/$E$39)*100</f>
        <v>118.75</v>
      </c>
      <c r="L73" s="70"/>
      <c r="M73" s="69">
        <f>V29</f>
        <v>0.9236014925</v>
      </c>
      <c r="N73" s="70"/>
      <c r="O73" s="69">
        <f>(K73*M73)/100</f>
        <v>1.096776772</v>
      </c>
      <c r="P73" s="70"/>
      <c r="Q73" s="69">
        <f>(O73-$O$39)/$O$39</f>
        <v>0.03226049159</v>
      </c>
      <c r="R73" s="70"/>
      <c r="S73" s="69">
        <f t="array" ref="S73">INDEX($C$30:$Z$30, INT((ROW(A39)+1)/2))</f>
        <v>-0.07639850753</v>
      </c>
      <c r="T73" s="70"/>
    </row>
    <row r="74" ht="15.75" customHeight="1">
      <c r="B74" s="17"/>
      <c r="C74" s="28"/>
      <c r="D74" s="87">
        <v>2.0</v>
      </c>
      <c r="E74" s="77">
        <v>9.0</v>
      </c>
      <c r="F74" s="10"/>
      <c r="G74" s="64"/>
      <c r="H74" s="63"/>
      <c r="I74" s="64"/>
      <c r="J74" s="63"/>
      <c r="K74" s="64"/>
      <c r="L74" s="63"/>
      <c r="M74" s="64"/>
      <c r="N74" s="63"/>
      <c r="O74" s="64"/>
      <c r="P74" s="63"/>
      <c r="Q74" s="64"/>
      <c r="R74" s="63"/>
      <c r="S74" s="64"/>
      <c r="T74" s="63"/>
    </row>
    <row r="75" ht="15.75" customHeight="1">
      <c r="B75" s="17"/>
      <c r="C75" s="86">
        <v>25.0</v>
      </c>
      <c r="D75" s="87">
        <v>1.0</v>
      </c>
      <c r="E75" s="77">
        <v>6.0</v>
      </c>
      <c r="F75" s="10"/>
      <c r="G75" s="69">
        <f>AVERAGE(E75:F76)</f>
        <v>7.5</v>
      </c>
      <c r="H75" s="70"/>
      <c r="I75" s="69">
        <f>(G75/10)*100</f>
        <v>75</v>
      </c>
      <c r="J75" s="70"/>
      <c r="K75" s="69">
        <f>(G75/$E$39)*100</f>
        <v>93.75</v>
      </c>
      <c r="L75" s="70"/>
      <c r="M75" s="69">
        <f>W29</f>
        <v>0.5522074138</v>
      </c>
      <c r="N75" s="70"/>
      <c r="O75" s="69">
        <f>(K75*M75)/100</f>
        <v>0.5176944504</v>
      </c>
      <c r="P75" s="70"/>
      <c r="Q75" s="69">
        <f>(O75-$O$39)/$O$39</f>
        <v>-0.5127581643</v>
      </c>
      <c r="R75" s="70"/>
      <c r="S75" s="69">
        <f t="array" ref="S75">INDEX($C$30:$Z$30, INT((ROW(A41)+1)/2))</f>
        <v>-0.4477925862</v>
      </c>
      <c r="T75" s="70"/>
    </row>
    <row r="76" ht="15.75" customHeight="1">
      <c r="B76" s="17"/>
      <c r="C76" s="28"/>
      <c r="D76" s="87">
        <v>2.0</v>
      </c>
      <c r="E76" s="77">
        <v>9.0</v>
      </c>
      <c r="F76" s="10"/>
      <c r="G76" s="64"/>
      <c r="H76" s="63"/>
      <c r="I76" s="64"/>
      <c r="J76" s="63"/>
      <c r="K76" s="64"/>
      <c r="L76" s="63"/>
      <c r="M76" s="64"/>
      <c r="N76" s="63"/>
      <c r="O76" s="64"/>
      <c r="P76" s="63"/>
      <c r="Q76" s="64"/>
      <c r="R76" s="63"/>
      <c r="S76" s="64"/>
      <c r="T76" s="63"/>
    </row>
    <row r="77" ht="15.75" customHeight="1">
      <c r="B77" s="17"/>
      <c r="C77" s="86">
        <v>50.0</v>
      </c>
      <c r="D77" s="87">
        <v>1.0</v>
      </c>
      <c r="E77" s="77">
        <v>8.0</v>
      </c>
      <c r="F77" s="10"/>
      <c r="G77" s="69">
        <f>AVERAGE(E77:F78)</f>
        <v>6</v>
      </c>
      <c r="H77" s="70"/>
      <c r="I77" s="69">
        <f>(G77/10)*100</f>
        <v>60</v>
      </c>
      <c r="J77" s="70"/>
      <c r="K77" s="69">
        <f>(G77/$E$39)*100</f>
        <v>75</v>
      </c>
      <c r="L77" s="70"/>
      <c r="M77" s="69">
        <f>X29</f>
        <v>0.3437778941</v>
      </c>
      <c r="N77" s="70"/>
      <c r="O77" s="69">
        <f>(K77*M77)/100</f>
        <v>0.2578334205</v>
      </c>
      <c r="P77" s="70"/>
      <c r="Q77" s="69">
        <f>(O77-$O$39)/$O$39</f>
        <v>-0.7573332513</v>
      </c>
      <c r="R77" s="70"/>
      <c r="S77" s="69">
        <f t="array" ref="S77">INDEX($C$30:$Z$30, INT((ROW(A43)+1)/2))</f>
        <v>-0.6562221059</v>
      </c>
      <c r="T77" s="70"/>
    </row>
    <row r="78" ht="15.75" customHeight="1">
      <c r="B78" s="17"/>
      <c r="C78" s="28"/>
      <c r="D78" s="87">
        <v>2.0</v>
      </c>
      <c r="E78" s="77">
        <v>4.0</v>
      </c>
      <c r="F78" s="10"/>
      <c r="G78" s="64"/>
      <c r="H78" s="63"/>
      <c r="I78" s="64"/>
      <c r="J78" s="63"/>
      <c r="K78" s="64"/>
      <c r="L78" s="63"/>
      <c r="M78" s="64"/>
      <c r="N78" s="63"/>
      <c r="O78" s="64"/>
      <c r="P78" s="63"/>
      <c r="Q78" s="64"/>
      <c r="R78" s="63"/>
      <c r="S78" s="64"/>
      <c r="T78" s="63"/>
    </row>
    <row r="79" ht="15.75" customHeight="1">
      <c r="B79" s="17"/>
      <c r="C79" s="86">
        <v>75.0</v>
      </c>
      <c r="D79" s="87">
        <v>1.0</v>
      </c>
      <c r="E79" s="77">
        <v>5.0</v>
      </c>
      <c r="F79" s="10"/>
      <c r="G79" s="69">
        <f>AVERAGE(E79:F80)</f>
        <v>4.5</v>
      </c>
      <c r="H79" s="70"/>
      <c r="I79" s="69">
        <f>(G79/10)*100</f>
        <v>45</v>
      </c>
      <c r="J79" s="70"/>
      <c r="K79" s="69">
        <f>(G79/$E$39)*100</f>
        <v>56.25</v>
      </c>
      <c r="L79" s="70"/>
      <c r="M79" s="69">
        <f>Y29</f>
        <v>0.38616147</v>
      </c>
      <c r="N79" s="70"/>
      <c r="O79" s="69">
        <f>(K79*M79)/100</f>
        <v>0.2172158269</v>
      </c>
      <c r="P79" s="70"/>
      <c r="Q79" s="69">
        <f>(O79-$O$39)/$O$39</f>
        <v>-0.7955615747</v>
      </c>
      <c r="R79" s="70"/>
      <c r="S79" s="69">
        <f t="array" ref="S79">INDEX($C$30:$Z$30, INT((ROW(A45)+1)/2))</f>
        <v>-0.61383853</v>
      </c>
      <c r="T79" s="70"/>
    </row>
    <row r="80" ht="15.75" customHeight="1">
      <c r="B80" s="17"/>
      <c r="C80" s="28"/>
      <c r="D80" s="87">
        <v>2.0</v>
      </c>
      <c r="E80" s="77">
        <v>4.0</v>
      </c>
      <c r="F80" s="10"/>
      <c r="G80" s="64"/>
      <c r="H80" s="63"/>
      <c r="I80" s="64"/>
      <c r="J80" s="63"/>
      <c r="K80" s="64"/>
      <c r="L80" s="63"/>
      <c r="M80" s="64"/>
      <c r="N80" s="63"/>
      <c r="O80" s="64"/>
      <c r="P80" s="63"/>
      <c r="Q80" s="64"/>
      <c r="R80" s="63"/>
      <c r="S80" s="64"/>
      <c r="T80" s="63"/>
    </row>
    <row r="81" ht="15.75" customHeight="1">
      <c r="B81" s="17"/>
      <c r="C81" s="86">
        <v>100.0</v>
      </c>
      <c r="D81" s="87">
        <v>1.0</v>
      </c>
      <c r="E81" s="77">
        <v>1.0</v>
      </c>
      <c r="F81" s="10"/>
      <c r="G81" s="69">
        <f>AVERAGE(E81:F82)</f>
        <v>1</v>
      </c>
      <c r="H81" s="70"/>
      <c r="I81" s="69">
        <f>(G81/10)*100</f>
        <v>10</v>
      </c>
      <c r="J81" s="70"/>
      <c r="K81" s="69">
        <f>(G81/$E$39)*100</f>
        <v>12.5</v>
      </c>
      <c r="L81" s="70"/>
      <c r="M81" s="69">
        <f>Z29</f>
        <v>0.1255809659</v>
      </c>
      <c r="N81" s="70"/>
      <c r="O81" s="69">
        <f>(K81*M81)/100</f>
        <v>0.01569762073</v>
      </c>
      <c r="P81" s="70"/>
      <c r="Q81" s="69">
        <f>(O81-$O$39)/$O$39</f>
        <v>-0.9852257687</v>
      </c>
      <c r="R81" s="70"/>
      <c r="S81" s="69">
        <f t="array" ref="S81">INDEX($C$30:$Z$30, INT((ROW(A47)+1)/2))</f>
        <v>-0.8744190341</v>
      </c>
      <c r="T81" s="70"/>
    </row>
    <row r="82" ht="15.75" customHeight="1">
      <c r="B82" s="28"/>
      <c r="C82" s="28"/>
      <c r="D82" s="87">
        <v>2.0</v>
      </c>
      <c r="E82" s="77"/>
      <c r="F82" s="10"/>
      <c r="G82" s="64"/>
      <c r="H82" s="63"/>
      <c r="I82" s="64"/>
      <c r="J82" s="63"/>
      <c r="K82" s="64"/>
      <c r="L82" s="63"/>
      <c r="M82" s="64"/>
      <c r="N82" s="63"/>
      <c r="O82" s="64"/>
      <c r="P82" s="63"/>
      <c r="Q82" s="64"/>
      <c r="R82" s="63"/>
      <c r="S82" s="64"/>
      <c r="T82" s="6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1.25" customHeight="1"/>
    <row r="98" ht="24.75" customHeight="1"/>
    <row r="99" ht="22.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91">
    <mergeCell ref="E48:F48"/>
    <mergeCell ref="E49:F49"/>
    <mergeCell ref="G49:H50"/>
    <mergeCell ref="I49:J50"/>
    <mergeCell ref="K49:L50"/>
    <mergeCell ref="M49:N50"/>
    <mergeCell ref="O49:P50"/>
    <mergeCell ref="E50:F50"/>
    <mergeCell ref="E51:F51"/>
    <mergeCell ref="G51:H52"/>
    <mergeCell ref="I51:J52"/>
    <mergeCell ref="K51:L52"/>
    <mergeCell ref="M51:N52"/>
    <mergeCell ref="O51:P52"/>
    <mergeCell ref="E42:F42"/>
    <mergeCell ref="E43:F43"/>
    <mergeCell ref="G43:H44"/>
    <mergeCell ref="I43:J44"/>
    <mergeCell ref="K43:L44"/>
    <mergeCell ref="M43:N44"/>
    <mergeCell ref="O43:P44"/>
    <mergeCell ref="E44:F44"/>
    <mergeCell ref="E45:F45"/>
    <mergeCell ref="G45:H46"/>
    <mergeCell ref="I45:J46"/>
    <mergeCell ref="K45:L46"/>
    <mergeCell ref="M45:N46"/>
    <mergeCell ref="O45:P46"/>
    <mergeCell ref="Q47:R48"/>
    <mergeCell ref="S47:T48"/>
    <mergeCell ref="E46:F46"/>
    <mergeCell ref="E47:F47"/>
    <mergeCell ref="G47:H48"/>
    <mergeCell ref="I47:J48"/>
    <mergeCell ref="K47:L48"/>
    <mergeCell ref="M47:N48"/>
    <mergeCell ref="O47:P48"/>
    <mergeCell ref="Q49:R50"/>
    <mergeCell ref="S49:T50"/>
    <mergeCell ref="Q51:R52"/>
    <mergeCell ref="S51:T52"/>
    <mergeCell ref="E56:F56"/>
    <mergeCell ref="E57:F57"/>
    <mergeCell ref="Q55:R56"/>
    <mergeCell ref="S55:T56"/>
    <mergeCell ref="E54:F54"/>
    <mergeCell ref="E55:F55"/>
    <mergeCell ref="G55:H56"/>
    <mergeCell ref="I55:J56"/>
    <mergeCell ref="K55:L56"/>
    <mergeCell ref="M55:N56"/>
    <mergeCell ref="O55:P56"/>
    <mergeCell ref="G57:H58"/>
    <mergeCell ref="I57:J58"/>
    <mergeCell ref="K57:L58"/>
    <mergeCell ref="M57:N58"/>
    <mergeCell ref="O57:P58"/>
    <mergeCell ref="Q57:R58"/>
    <mergeCell ref="S57:T58"/>
    <mergeCell ref="Q59:R60"/>
    <mergeCell ref="S59:T60"/>
    <mergeCell ref="E58:F58"/>
    <mergeCell ref="E59:F59"/>
    <mergeCell ref="G59:H60"/>
    <mergeCell ref="I59:J60"/>
    <mergeCell ref="K59:L60"/>
    <mergeCell ref="M59:N60"/>
    <mergeCell ref="O59:P60"/>
    <mergeCell ref="Q61:R62"/>
    <mergeCell ref="S61:T62"/>
    <mergeCell ref="Q63:R64"/>
    <mergeCell ref="S63:T64"/>
    <mergeCell ref="E60:F60"/>
    <mergeCell ref="E61:F61"/>
    <mergeCell ref="G61:H62"/>
    <mergeCell ref="I61:J62"/>
    <mergeCell ref="K61:L62"/>
    <mergeCell ref="M61:N62"/>
    <mergeCell ref="O61:P62"/>
    <mergeCell ref="E62:F62"/>
    <mergeCell ref="E63:F63"/>
    <mergeCell ref="G63:H64"/>
    <mergeCell ref="I63:J64"/>
    <mergeCell ref="K63:L64"/>
    <mergeCell ref="M63:N64"/>
    <mergeCell ref="O63:P64"/>
    <mergeCell ref="Q65:R66"/>
    <mergeCell ref="S65:T66"/>
    <mergeCell ref="E64:F64"/>
    <mergeCell ref="E65:F65"/>
    <mergeCell ref="G65:H66"/>
    <mergeCell ref="I65:J66"/>
    <mergeCell ref="K65:L66"/>
    <mergeCell ref="M65:N66"/>
    <mergeCell ref="O65:P66"/>
    <mergeCell ref="Q67:R68"/>
    <mergeCell ref="S67:T68"/>
    <mergeCell ref="Q69:R70"/>
    <mergeCell ref="S69:T70"/>
    <mergeCell ref="E70:F70"/>
    <mergeCell ref="E71:F71"/>
    <mergeCell ref="B2:Z2"/>
    <mergeCell ref="B3:Z3"/>
    <mergeCell ref="C4:F4"/>
    <mergeCell ref="G4:K4"/>
    <mergeCell ref="L4:P4"/>
    <mergeCell ref="Q4:U4"/>
    <mergeCell ref="V4:Z4"/>
    <mergeCell ref="I5:I6"/>
    <mergeCell ref="J5:J6"/>
    <mergeCell ref="K5:K6"/>
    <mergeCell ref="L5:L6"/>
    <mergeCell ref="M5:M6"/>
    <mergeCell ref="N5:N6"/>
    <mergeCell ref="O5:O6"/>
    <mergeCell ref="W5:W6"/>
    <mergeCell ref="X5:X6"/>
    <mergeCell ref="Y5:Y6"/>
    <mergeCell ref="Z5:Z6"/>
    <mergeCell ref="P5:P6"/>
    <mergeCell ref="Q5:Q6"/>
    <mergeCell ref="R5:R6"/>
    <mergeCell ref="S5:S6"/>
    <mergeCell ref="T5:T6"/>
    <mergeCell ref="U5:U6"/>
    <mergeCell ref="V5:V6"/>
    <mergeCell ref="B4:B6"/>
    <mergeCell ref="C5:C6"/>
    <mergeCell ref="D5:D6"/>
    <mergeCell ref="E5:E6"/>
    <mergeCell ref="F5:F6"/>
    <mergeCell ref="G5:G6"/>
    <mergeCell ref="H5:H6"/>
    <mergeCell ref="G33:H34"/>
    <mergeCell ref="I33:J34"/>
    <mergeCell ref="K33:L34"/>
    <mergeCell ref="M33:N34"/>
    <mergeCell ref="E35:F35"/>
    <mergeCell ref="E36:F36"/>
    <mergeCell ref="E37:F37"/>
    <mergeCell ref="G37:H38"/>
    <mergeCell ref="I37:J38"/>
    <mergeCell ref="K37:L38"/>
    <mergeCell ref="M37:N38"/>
    <mergeCell ref="E38:F38"/>
    <mergeCell ref="E39:F39"/>
    <mergeCell ref="G39:H40"/>
    <mergeCell ref="I39:J40"/>
    <mergeCell ref="K39:L40"/>
    <mergeCell ref="M39:N40"/>
    <mergeCell ref="O39:P40"/>
    <mergeCell ref="Q41:R42"/>
    <mergeCell ref="S41:T42"/>
    <mergeCell ref="E40:F40"/>
    <mergeCell ref="E41:F41"/>
    <mergeCell ref="G41:H42"/>
    <mergeCell ref="I41:J42"/>
    <mergeCell ref="K41:L42"/>
    <mergeCell ref="M41:N42"/>
    <mergeCell ref="O41:P42"/>
    <mergeCell ref="C43:C44"/>
    <mergeCell ref="C45:C46"/>
    <mergeCell ref="C47:C48"/>
    <mergeCell ref="C49:C50"/>
    <mergeCell ref="B43:B52"/>
    <mergeCell ref="B53:B62"/>
    <mergeCell ref="B63:B72"/>
    <mergeCell ref="B73:B82"/>
    <mergeCell ref="B33:B34"/>
    <mergeCell ref="B35:B42"/>
    <mergeCell ref="C35:C36"/>
    <mergeCell ref="C37:C38"/>
    <mergeCell ref="C39:C40"/>
    <mergeCell ref="C41:C42"/>
    <mergeCell ref="C51:C52"/>
    <mergeCell ref="C67:C68"/>
    <mergeCell ref="C69:C70"/>
    <mergeCell ref="C71:C72"/>
    <mergeCell ref="C73:C74"/>
    <mergeCell ref="C75:C76"/>
    <mergeCell ref="C77:C78"/>
    <mergeCell ref="C79:C80"/>
    <mergeCell ref="C81:C82"/>
    <mergeCell ref="C53:C54"/>
    <mergeCell ref="C55:C56"/>
    <mergeCell ref="C57:C58"/>
    <mergeCell ref="C59:C60"/>
    <mergeCell ref="C61:C62"/>
    <mergeCell ref="C63:C64"/>
    <mergeCell ref="C65:C66"/>
    <mergeCell ref="O33:P34"/>
    <mergeCell ref="Q33:R34"/>
    <mergeCell ref="B7:B16"/>
    <mergeCell ref="B17:B26"/>
    <mergeCell ref="B32:T32"/>
    <mergeCell ref="C33:C34"/>
    <mergeCell ref="D33:D34"/>
    <mergeCell ref="E33:F34"/>
    <mergeCell ref="S33:T34"/>
    <mergeCell ref="G35:H36"/>
    <mergeCell ref="I35:J36"/>
    <mergeCell ref="K35:L36"/>
    <mergeCell ref="M35:N36"/>
    <mergeCell ref="O35:P36"/>
    <mergeCell ref="Q35:R36"/>
    <mergeCell ref="S35:T36"/>
    <mergeCell ref="O37:P38"/>
    <mergeCell ref="Q37:R38"/>
    <mergeCell ref="S37:T38"/>
    <mergeCell ref="Q39:R40"/>
    <mergeCell ref="S39:T40"/>
    <mergeCell ref="Q43:R44"/>
    <mergeCell ref="S43:T44"/>
    <mergeCell ref="Q45:R46"/>
    <mergeCell ref="S45:T46"/>
    <mergeCell ref="Q53:R54"/>
    <mergeCell ref="S53:T54"/>
    <mergeCell ref="E52:F52"/>
    <mergeCell ref="E53:F53"/>
    <mergeCell ref="G53:H54"/>
    <mergeCell ref="I53:J54"/>
    <mergeCell ref="K53:L54"/>
    <mergeCell ref="M53:N54"/>
    <mergeCell ref="O53:P54"/>
    <mergeCell ref="E74:F74"/>
    <mergeCell ref="E75:F75"/>
    <mergeCell ref="G75:H76"/>
    <mergeCell ref="I75:J76"/>
    <mergeCell ref="K75:L76"/>
    <mergeCell ref="M75:N76"/>
    <mergeCell ref="O75:P76"/>
    <mergeCell ref="E76:F76"/>
    <mergeCell ref="E77:F77"/>
    <mergeCell ref="G77:H78"/>
    <mergeCell ref="I77:J78"/>
    <mergeCell ref="K77:L78"/>
    <mergeCell ref="M77:N78"/>
    <mergeCell ref="O77:P78"/>
    <mergeCell ref="Q79:R80"/>
    <mergeCell ref="S79:T80"/>
    <mergeCell ref="E78:F78"/>
    <mergeCell ref="E79:F79"/>
    <mergeCell ref="G79:H80"/>
    <mergeCell ref="I79:J80"/>
    <mergeCell ref="K79:L80"/>
    <mergeCell ref="M79:N80"/>
    <mergeCell ref="O79:P80"/>
    <mergeCell ref="Q81:R82"/>
    <mergeCell ref="S81:T82"/>
    <mergeCell ref="E80:F80"/>
    <mergeCell ref="E81:F81"/>
    <mergeCell ref="G81:H82"/>
    <mergeCell ref="I81:J82"/>
    <mergeCell ref="K81:L82"/>
    <mergeCell ref="M81:N82"/>
    <mergeCell ref="O81:P82"/>
    <mergeCell ref="E82:F82"/>
    <mergeCell ref="E66:F66"/>
    <mergeCell ref="E67:F67"/>
    <mergeCell ref="G67:H68"/>
    <mergeCell ref="I67:J68"/>
    <mergeCell ref="K67:L68"/>
    <mergeCell ref="M67:N68"/>
    <mergeCell ref="O67:P68"/>
    <mergeCell ref="E68:F68"/>
    <mergeCell ref="E69:F69"/>
    <mergeCell ref="G69:H70"/>
    <mergeCell ref="I69:J70"/>
    <mergeCell ref="K69:L70"/>
    <mergeCell ref="M69:N70"/>
    <mergeCell ref="O69:P70"/>
    <mergeCell ref="G71:H72"/>
    <mergeCell ref="I71:J72"/>
    <mergeCell ref="K71:L72"/>
    <mergeCell ref="M71:N72"/>
    <mergeCell ref="O71:P72"/>
    <mergeCell ref="Q71:R72"/>
    <mergeCell ref="S71:T72"/>
    <mergeCell ref="Q73:R74"/>
    <mergeCell ref="S73:T74"/>
    <mergeCell ref="E72:F72"/>
    <mergeCell ref="E73:F73"/>
    <mergeCell ref="G73:H74"/>
    <mergeCell ref="I73:J74"/>
    <mergeCell ref="K73:L74"/>
    <mergeCell ref="M73:N74"/>
    <mergeCell ref="O73:P74"/>
    <mergeCell ref="Q75:R76"/>
    <mergeCell ref="S75:T76"/>
    <mergeCell ref="Q77:R78"/>
    <mergeCell ref="S77:T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3" width="12.25"/>
    <col customWidth="1" min="4" max="4" width="23.88"/>
    <col customWidth="1" min="5" max="5" width="8.38"/>
    <col customWidth="1" min="6" max="6" width="7.63"/>
    <col customWidth="1" min="7" max="7" width="7.25"/>
    <col customWidth="1" min="8" max="9" width="7.0"/>
    <col customWidth="1" min="10" max="10" width="7.75"/>
    <col customWidth="1" min="11" max="11" width="8.38"/>
    <col customWidth="1" min="13" max="13" width="19.5"/>
  </cols>
  <sheetData>
    <row r="1" ht="5.25" customHeight="1">
      <c r="A1" s="1"/>
      <c r="B1" s="1"/>
      <c r="C1" s="1"/>
      <c r="D1" s="1"/>
      <c r="E1" s="1"/>
      <c r="F1" s="1"/>
      <c r="G1" s="1"/>
      <c r="H1" s="88"/>
      <c r="I1" s="1"/>
      <c r="J1" s="1"/>
    </row>
    <row r="2" ht="15.75" customHeight="1">
      <c r="A2" s="1"/>
      <c r="B2" s="56" t="s">
        <v>20</v>
      </c>
      <c r="C2" s="56" t="s">
        <v>21</v>
      </c>
      <c r="D2" s="56" t="s">
        <v>28</v>
      </c>
      <c r="E2" s="56" t="s">
        <v>24</v>
      </c>
      <c r="F2" s="56" t="s">
        <v>25</v>
      </c>
      <c r="G2" s="56" t="s">
        <v>26</v>
      </c>
      <c r="H2" s="56" t="s">
        <v>17</v>
      </c>
      <c r="I2" s="56" t="s">
        <v>27</v>
      </c>
      <c r="J2" s="56" t="s">
        <v>18</v>
      </c>
      <c r="L2" s="89" t="s">
        <v>29</v>
      </c>
      <c r="M2" s="90" t="s">
        <v>30</v>
      </c>
      <c r="O2" s="91"/>
      <c r="P2" s="91"/>
    </row>
    <row r="3" ht="15.75" customHeight="1">
      <c r="A3" s="1"/>
      <c r="B3" s="28"/>
      <c r="C3" s="28"/>
      <c r="D3" s="28"/>
      <c r="E3" s="28"/>
      <c r="F3" s="28"/>
      <c r="G3" s="28"/>
      <c r="H3" s="28"/>
      <c r="I3" s="28"/>
      <c r="J3" s="28"/>
      <c r="L3" s="92" t="s">
        <v>31</v>
      </c>
      <c r="M3" s="93" t="s">
        <v>32</v>
      </c>
    </row>
    <row r="4" ht="15.75" customHeight="1">
      <c r="A4" s="94"/>
      <c r="B4" s="95" t="s">
        <v>4</v>
      </c>
      <c r="C4" s="96">
        <v>0.0</v>
      </c>
      <c r="D4" s="97">
        <f t="shared" ref="D4:D23" si="1">INDIRECT("'Dia 7'!G" &amp; (43 + (ROW(A1) - 1) * 2))</f>
        <v>9</v>
      </c>
      <c r="E4" s="97">
        <f t="shared" ref="E4:E23" si="2">INDIRECT("'Dia 7'!I" &amp; 43 + (ROW(A1)-1)*2)</f>
        <v>90</v>
      </c>
      <c r="F4" s="97">
        <f t="shared" ref="F4:F23" si="3">INDIRECT("'Dia 7'!K" &amp; 43 + (ROW(A1)-1)*2)</f>
        <v>112.5</v>
      </c>
      <c r="G4" s="97">
        <f t="shared" ref="G4:G23" si="4">INDIRECT("'Dia 7'!O" &amp; 43 + (ROW(A1)-1)*2)</f>
        <v>1.465569116</v>
      </c>
      <c r="H4" s="97">
        <f t="shared" ref="H4:H23" si="5">INDIRECT("'Dia 7'!M" &amp; 43 + (ROW(A1)-1)*2)</f>
        <v>1.302728103</v>
      </c>
      <c r="I4" s="97">
        <f t="shared" ref="I4:I23" si="6">INDIRECT("'Dia 7'!Q" &amp; 43 + (ROW(A1)-1)*2)</f>
        <v>0.3793591677</v>
      </c>
      <c r="J4" s="97">
        <f t="shared" ref="J4:J23" si="7">INDIRECT("'Dia 7'!S" &amp; 43 + (ROW(A1)-1)*2)</f>
        <v>0.3027281028</v>
      </c>
      <c r="K4" s="98"/>
      <c r="L4" s="99" t="s">
        <v>33</v>
      </c>
      <c r="M4" s="100" t="s">
        <v>34</v>
      </c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</row>
    <row r="5" ht="15.75" customHeight="1">
      <c r="A5" s="94"/>
      <c r="B5" s="17"/>
      <c r="C5" s="96">
        <v>25.0</v>
      </c>
      <c r="D5" s="97">
        <f t="shared" si="1"/>
        <v>9</v>
      </c>
      <c r="E5" s="97">
        <f t="shared" si="2"/>
        <v>90</v>
      </c>
      <c r="F5" s="97">
        <f t="shared" si="3"/>
        <v>112.5</v>
      </c>
      <c r="G5" s="97">
        <f t="shared" si="4"/>
        <v>0.7257206285</v>
      </c>
      <c r="H5" s="97">
        <f t="shared" si="5"/>
        <v>0.6450850031</v>
      </c>
      <c r="I5" s="97">
        <f t="shared" si="6"/>
        <v>-0.3169688202</v>
      </c>
      <c r="J5" s="97">
        <f t="shared" si="7"/>
        <v>-0.3549149969</v>
      </c>
      <c r="K5" s="98"/>
      <c r="L5" s="101" t="s">
        <v>35</v>
      </c>
      <c r="M5" s="102" t="s">
        <v>36</v>
      </c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</row>
    <row r="6" ht="15.75" customHeight="1">
      <c r="A6" s="94"/>
      <c r="B6" s="17"/>
      <c r="C6" s="96">
        <v>50.0</v>
      </c>
      <c r="D6" s="97">
        <f t="shared" si="1"/>
        <v>4.5</v>
      </c>
      <c r="E6" s="97">
        <f t="shared" si="2"/>
        <v>45</v>
      </c>
      <c r="F6" s="97">
        <f t="shared" si="3"/>
        <v>56.25</v>
      </c>
      <c r="G6" s="97">
        <f t="shared" si="4"/>
        <v>0.298091277</v>
      </c>
      <c r="H6" s="97">
        <f t="shared" si="5"/>
        <v>0.5299400481</v>
      </c>
      <c r="I6" s="97">
        <f t="shared" si="6"/>
        <v>-0.719443504</v>
      </c>
      <c r="J6" s="97">
        <f t="shared" si="7"/>
        <v>-0.4700599519</v>
      </c>
      <c r="K6" s="98"/>
      <c r="L6" s="101" t="s">
        <v>37</v>
      </c>
      <c r="M6" s="103" t="s">
        <v>38</v>
      </c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</row>
    <row r="7" ht="15.75" customHeight="1">
      <c r="A7" s="94"/>
      <c r="B7" s="17"/>
      <c r="C7" s="96">
        <v>75.0</v>
      </c>
      <c r="D7" s="97">
        <f t="shared" si="1"/>
        <v>5</v>
      </c>
      <c r="E7" s="97">
        <f t="shared" si="2"/>
        <v>50</v>
      </c>
      <c r="F7" s="97">
        <f t="shared" si="3"/>
        <v>62.5</v>
      </c>
      <c r="G7" s="97">
        <f t="shared" si="4"/>
        <v>0.1855916618</v>
      </c>
      <c r="H7" s="97">
        <f t="shared" si="5"/>
        <v>0.2969466589</v>
      </c>
      <c r="I7" s="97">
        <f t="shared" si="6"/>
        <v>-0.8253254948</v>
      </c>
      <c r="J7" s="97">
        <f t="shared" si="7"/>
        <v>-0.7030533411</v>
      </c>
      <c r="K7" s="98"/>
      <c r="L7" s="104"/>
      <c r="M7" s="104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</row>
    <row r="8" ht="15.75" customHeight="1">
      <c r="A8" s="94">
        <v>100.0</v>
      </c>
      <c r="B8" s="28"/>
      <c r="C8" s="96">
        <v>100.0</v>
      </c>
      <c r="D8" s="97">
        <f t="shared" si="1"/>
        <v>1</v>
      </c>
      <c r="E8" s="97">
        <f t="shared" si="2"/>
        <v>10</v>
      </c>
      <c r="F8" s="97">
        <f t="shared" si="3"/>
        <v>12.5</v>
      </c>
      <c r="G8" s="97">
        <f t="shared" si="4"/>
        <v>0.02819031057</v>
      </c>
      <c r="H8" s="97">
        <f t="shared" si="5"/>
        <v>0.2255224845</v>
      </c>
      <c r="I8" s="97">
        <f t="shared" si="6"/>
        <v>-0.973467943</v>
      </c>
      <c r="J8" s="97">
        <f t="shared" si="7"/>
        <v>-0.7744775155</v>
      </c>
      <c r="K8" s="98"/>
      <c r="L8" s="105" t="s">
        <v>39</v>
      </c>
      <c r="M8" s="106" t="s">
        <v>40</v>
      </c>
      <c r="N8" s="7"/>
      <c r="O8" s="10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</row>
    <row r="9" ht="15.75" customHeight="1">
      <c r="A9" s="94"/>
      <c r="B9" s="107" t="s">
        <v>5</v>
      </c>
      <c r="C9" s="108">
        <v>0.0</v>
      </c>
      <c r="D9" s="97">
        <f t="shared" si="1"/>
        <v>8</v>
      </c>
      <c r="E9" s="97">
        <f t="shared" si="2"/>
        <v>80</v>
      </c>
      <c r="F9" s="97">
        <f t="shared" si="3"/>
        <v>100</v>
      </c>
      <c r="G9" s="97">
        <f t="shared" si="4"/>
        <v>0.81348559</v>
      </c>
      <c r="H9" s="97">
        <f t="shared" si="5"/>
        <v>0.81348559</v>
      </c>
      <c r="I9" s="97">
        <f t="shared" si="6"/>
        <v>-0.2343665035</v>
      </c>
      <c r="J9" s="97">
        <f t="shared" si="7"/>
        <v>-0.18651441</v>
      </c>
      <c r="K9" s="98"/>
      <c r="L9" s="105" t="s">
        <v>41</v>
      </c>
      <c r="M9" s="106" t="s">
        <v>42</v>
      </c>
      <c r="N9" s="7"/>
      <c r="O9" s="10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</row>
    <row r="10" ht="15.75" customHeight="1">
      <c r="A10" s="94"/>
      <c r="B10" s="17"/>
      <c r="C10" s="108">
        <v>25.0</v>
      </c>
      <c r="D10" s="97">
        <f t="shared" si="1"/>
        <v>7.5</v>
      </c>
      <c r="E10" s="97">
        <f t="shared" si="2"/>
        <v>75</v>
      </c>
      <c r="F10" s="97">
        <f t="shared" si="3"/>
        <v>93.75</v>
      </c>
      <c r="G10" s="97">
        <f t="shared" si="4"/>
        <v>0.6390035377</v>
      </c>
      <c r="H10" s="97">
        <f t="shared" si="5"/>
        <v>0.6816037736</v>
      </c>
      <c r="I10" s="97">
        <f t="shared" si="6"/>
        <v>-0.3985849057</v>
      </c>
      <c r="J10" s="97">
        <f t="shared" si="7"/>
        <v>-0.3183962264</v>
      </c>
      <c r="K10" s="98"/>
      <c r="L10" s="105" t="s">
        <v>43</v>
      </c>
      <c r="M10" s="106" t="s">
        <v>44</v>
      </c>
      <c r="N10" s="7"/>
      <c r="O10" s="10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</row>
    <row r="11" ht="15.75" customHeight="1">
      <c r="B11" s="17"/>
      <c r="C11" s="108">
        <v>50.0</v>
      </c>
      <c r="D11" s="97">
        <f t="shared" si="1"/>
        <v>6</v>
      </c>
      <c r="E11" s="97">
        <f t="shared" si="2"/>
        <v>60</v>
      </c>
      <c r="F11" s="97">
        <f t="shared" si="3"/>
        <v>75</v>
      </c>
      <c r="G11" s="97">
        <f t="shared" si="4"/>
        <v>0.331350611</v>
      </c>
      <c r="H11" s="97">
        <f t="shared" si="5"/>
        <v>0.4418008146</v>
      </c>
      <c r="I11" s="97">
        <f t="shared" si="6"/>
        <v>-0.6881406014</v>
      </c>
      <c r="J11" s="97">
        <f t="shared" si="7"/>
        <v>-0.5581991854</v>
      </c>
      <c r="L11" s="105" t="s">
        <v>45</v>
      </c>
      <c r="M11" s="106" t="s">
        <v>46</v>
      </c>
      <c r="N11" s="7"/>
      <c r="O11" s="10"/>
    </row>
    <row r="12" ht="15.75" customHeight="1">
      <c r="B12" s="17"/>
      <c r="C12" s="108">
        <v>75.0</v>
      </c>
      <c r="D12" s="97">
        <f t="shared" si="1"/>
        <v>7.5</v>
      </c>
      <c r="E12" s="97">
        <f t="shared" si="2"/>
        <v>75</v>
      </c>
      <c r="F12" s="97">
        <f t="shared" si="3"/>
        <v>93.75</v>
      </c>
      <c r="G12" s="97">
        <f t="shared" si="4"/>
        <v>0.3384799471</v>
      </c>
      <c r="H12" s="97">
        <f t="shared" si="5"/>
        <v>0.3610452769</v>
      </c>
      <c r="I12" s="97">
        <f t="shared" si="6"/>
        <v>-0.6814306381</v>
      </c>
      <c r="J12" s="97">
        <f t="shared" si="7"/>
        <v>-0.6389547231</v>
      </c>
      <c r="L12" s="105" t="s">
        <v>47</v>
      </c>
      <c r="M12" s="106" t="s">
        <v>48</v>
      </c>
      <c r="N12" s="7"/>
      <c r="O12" s="10"/>
    </row>
    <row r="13" ht="15.75" customHeight="1">
      <c r="B13" s="28"/>
      <c r="C13" s="108">
        <v>100.0</v>
      </c>
      <c r="D13" s="97">
        <f t="shared" si="1"/>
        <v>1.5</v>
      </c>
      <c r="E13" s="97">
        <f t="shared" si="2"/>
        <v>15</v>
      </c>
      <c r="F13" s="97">
        <f t="shared" si="3"/>
        <v>18.75</v>
      </c>
      <c r="G13" s="97">
        <f t="shared" si="4"/>
        <v>0.04464010896</v>
      </c>
      <c r="H13" s="97">
        <f t="shared" si="5"/>
        <v>0.2380805811</v>
      </c>
      <c r="I13" s="97">
        <f t="shared" si="6"/>
        <v>-0.9579857798</v>
      </c>
      <c r="J13" s="97">
        <f t="shared" si="7"/>
        <v>-0.7619194189</v>
      </c>
      <c r="L13" s="105" t="s">
        <v>49</v>
      </c>
      <c r="M13" s="106" t="s">
        <v>50</v>
      </c>
      <c r="N13" s="7"/>
      <c r="O13" s="10"/>
    </row>
    <row r="14" ht="15.75" customHeight="1">
      <c r="B14" s="120" t="s">
        <v>6</v>
      </c>
      <c r="C14" s="110">
        <v>0.0</v>
      </c>
      <c r="D14" s="97">
        <f t="shared" si="1"/>
        <v>7.5</v>
      </c>
      <c r="E14" s="97">
        <f t="shared" si="2"/>
        <v>75</v>
      </c>
      <c r="F14" s="97">
        <f t="shared" si="3"/>
        <v>93.75</v>
      </c>
      <c r="G14" s="97">
        <f t="shared" si="4"/>
        <v>0.7739254055</v>
      </c>
      <c r="H14" s="97">
        <f t="shared" si="5"/>
        <v>0.8255204326</v>
      </c>
      <c r="I14" s="97">
        <f t="shared" si="6"/>
        <v>-0.2715996183</v>
      </c>
      <c r="J14" s="97">
        <f t="shared" si="7"/>
        <v>-0.1744795674</v>
      </c>
      <c r="K14" s="111"/>
      <c r="L14" s="98"/>
    </row>
    <row r="15" ht="15.75" customHeight="1">
      <c r="B15" s="17"/>
      <c r="C15" s="110">
        <v>25.0</v>
      </c>
      <c r="D15" s="97">
        <f t="shared" si="1"/>
        <v>8.5</v>
      </c>
      <c r="E15" s="97">
        <f t="shared" si="2"/>
        <v>85</v>
      </c>
      <c r="F15" s="97">
        <f t="shared" si="3"/>
        <v>106.25</v>
      </c>
      <c r="G15" s="97">
        <f t="shared" si="4"/>
        <v>0.7921775233</v>
      </c>
      <c r="H15" s="97">
        <f t="shared" si="5"/>
        <v>0.7455788455</v>
      </c>
      <c r="I15" s="121">
        <f t="shared" si="6"/>
        <v>-0.2544211545</v>
      </c>
      <c r="J15" s="121">
        <f t="shared" si="7"/>
        <v>-0.2544211545</v>
      </c>
      <c r="K15" s="111"/>
      <c r="L15" s="98"/>
    </row>
    <row r="16" ht="15.75" customHeight="1">
      <c r="B16" s="17"/>
      <c r="C16" s="110">
        <v>50.0</v>
      </c>
      <c r="D16" s="97">
        <f t="shared" si="1"/>
        <v>5.5</v>
      </c>
      <c r="E16" s="97">
        <f t="shared" si="2"/>
        <v>55</v>
      </c>
      <c r="F16" s="97">
        <f t="shared" si="3"/>
        <v>68.75</v>
      </c>
      <c r="G16" s="97">
        <f t="shared" si="4"/>
        <v>0.3159691229</v>
      </c>
      <c r="H16" s="97">
        <f t="shared" si="5"/>
        <v>0.4595914515</v>
      </c>
      <c r="I16" s="97">
        <f t="shared" si="6"/>
        <v>-0.7026172961</v>
      </c>
      <c r="J16" s="97">
        <f t="shared" si="7"/>
        <v>-0.5404085485</v>
      </c>
      <c r="K16" s="111"/>
      <c r="L16" s="98"/>
    </row>
    <row r="17" ht="15.75" customHeight="1">
      <c r="B17" s="17"/>
      <c r="C17" s="110">
        <v>75.0</v>
      </c>
      <c r="D17" s="97">
        <f t="shared" si="1"/>
        <v>3.5</v>
      </c>
      <c r="E17" s="97">
        <f t="shared" si="2"/>
        <v>35</v>
      </c>
      <c r="F17" s="97">
        <f t="shared" si="3"/>
        <v>43.75</v>
      </c>
      <c r="G17" s="97">
        <f t="shared" si="4"/>
        <v>0.1497814645</v>
      </c>
      <c r="H17" s="97">
        <f t="shared" si="5"/>
        <v>0.3423576331</v>
      </c>
      <c r="I17" s="97">
        <f t="shared" si="6"/>
        <v>-0.8590292099</v>
      </c>
      <c r="J17" s="97">
        <f t="shared" si="7"/>
        <v>-0.6576423669</v>
      </c>
      <c r="K17" s="111"/>
      <c r="L17" s="98"/>
    </row>
    <row r="18" ht="15.75" customHeight="1">
      <c r="B18" s="28"/>
      <c r="C18" s="110">
        <v>100.0</v>
      </c>
      <c r="D18" s="97">
        <f t="shared" si="1"/>
        <v>1</v>
      </c>
      <c r="E18" s="97">
        <f t="shared" si="2"/>
        <v>10</v>
      </c>
      <c r="F18" s="97">
        <f t="shared" si="3"/>
        <v>12.5</v>
      </c>
      <c r="G18" s="97">
        <f t="shared" si="4"/>
        <v>0.006540675305</v>
      </c>
      <c r="H18" s="97">
        <f t="shared" si="5"/>
        <v>0.05232540244</v>
      </c>
      <c r="I18" s="97">
        <f t="shared" si="6"/>
        <v>-0.9938440703</v>
      </c>
      <c r="J18" s="97">
        <f t="shared" si="7"/>
        <v>-0.9476745976</v>
      </c>
      <c r="K18" s="111"/>
      <c r="L18" s="98"/>
    </row>
    <row r="19" ht="15.75" customHeight="1">
      <c r="B19" s="112" t="s">
        <v>7</v>
      </c>
      <c r="C19" s="113">
        <v>0.0</v>
      </c>
      <c r="D19" s="97">
        <f t="shared" si="1"/>
        <v>9.5</v>
      </c>
      <c r="E19" s="97">
        <f t="shared" si="2"/>
        <v>95</v>
      </c>
      <c r="F19" s="97">
        <f t="shared" si="3"/>
        <v>118.75</v>
      </c>
      <c r="G19" s="97">
        <f t="shared" si="4"/>
        <v>1.096776772</v>
      </c>
      <c r="H19" s="97">
        <f t="shared" si="5"/>
        <v>0.9236014925</v>
      </c>
      <c r="I19" s="97">
        <f t="shared" si="6"/>
        <v>0.03226049159</v>
      </c>
      <c r="J19" s="97">
        <f t="shared" si="7"/>
        <v>-0.07639850753</v>
      </c>
      <c r="K19" s="111"/>
      <c r="L19" s="98"/>
    </row>
    <row r="20" ht="15.75" customHeight="1">
      <c r="B20" s="17"/>
      <c r="C20" s="113">
        <v>25.0</v>
      </c>
      <c r="D20" s="97">
        <f t="shared" si="1"/>
        <v>7.5</v>
      </c>
      <c r="E20" s="97">
        <f t="shared" si="2"/>
        <v>75</v>
      </c>
      <c r="F20" s="97">
        <f t="shared" si="3"/>
        <v>93.75</v>
      </c>
      <c r="G20" s="97">
        <f t="shared" si="4"/>
        <v>0.5176944504</v>
      </c>
      <c r="H20" s="97">
        <f t="shared" si="5"/>
        <v>0.5522074138</v>
      </c>
      <c r="I20" s="97">
        <f t="shared" si="6"/>
        <v>-0.5127581643</v>
      </c>
      <c r="J20" s="97">
        <f t="shared" si="7"/>
        <v>-0.4477925862</v>
      </c>
      <c r="K20" s="111"/>
      <c r="L20" s="98"/>
    </row>
    <row r="21" ht="15.75" customHeight="1">
      <c r="B21" s="17"/>
      <c r="C21" s="113">
        <v>50.0</v>
      </c>
      <c r="D21" s="97">
        <f t="shared" si="1"/>
        <v>6</v>
      </c>
      <c r="E21" s="97">
        <f t="shared" si="2"/>
        <v>60</v>
      </c>
      <c r="F21" s="97">
        <f t="shared" si="3"/>
        <v>75</v>
      </c>
      <c r="G21" s="97">
        <f t="shared" si="4"/>
        <v>0.2578334205</v>
      </c>
      <c r="H21" s="97">
        <f t="shared" si="5"/>
        <v>0.3437778941</v>
      </c>
      <c r="I21" s="122">
        <f t="shared" si="6"/>
        <v>-0.7573332513</v>
      </c>
      <c r="J21" s="97">
        <f t="shared" si="7"/>
        <v>-0.6562221059</v>
      </c>
    </row>
    <row r="22" ht="15.75" customHeight="1">
      <c r="B22" s="17"/>
      <c r="C22" s="113">
        <v>75.0</v>
      </c>
      <c r="D22" s="97">
        <f t="shared" si="1"/>
        <v>4.5</v>
      </c>
      <c r="E22" s="97">
        <f t="shared" si="2"/>
        <v>45</v>
      </c>
      <c r="F22" s="97">
        <f t="shared" si="3"/>
        <v>56.25</v>
      </c>
      <c r="G22" s="97">
        <f t="shared" si="4"/>
        <v>0.2172158269</v>
      </c>
      <c r="H22" s="97">
        <f t="shared" si="5"/>
        <v>0.38616147</v>
      </c>
      <c r="I22" s="97">
        <f t="shared" si="6"/>
        <v>-0.7955615747</v>
      </c>
      <c r="J22" s="97">
        <f t="shared" si="7"/>
        <v>-0.61383853</v>
      </c>
    </row>
    <row r="23" ht="15.75" customHeight="1">
      <c r="B23" s="28"/>
      <c r="C23" s="113">
        <v>100.0</v>
      </c>
      <c r="D23" s="97">
        <f t="shared" si="1"/>
        <v>1</v>
      </c>
      <c r="E23" s="97">
        <f t="shared" si="2"/>
        <v>10</v>
      </c>
      <c r="F23" s="97">
        <f t="shared" si="3"/>
        <v>12.5</v>
      </c>
      <c r="G23" s="97">
        <f t="shared" si="4"/>
        <v>0.01569762073</v>
      </c>
      <c r="H23" s="97">
        <f t="shared" si="5"/>
        <v>0.1255809659</v>
      </c>
      <c r="I23" s="97">
        <f t="shared" si="6"/>
        <v>-0.9852257687</v>
      </c>
      <c r="J23" s="97">
        <f t="shared" si="7"/>
        <v>-0.8744190341</v>
      </c>
    </row>
    <row r="24" ht="15.75" customHeight="1">
      <c r="B24" s="114" t="s">
        <v>52</v>
      </c>
      <c r="C24" s="10"/>
      <c r="D24" s="97">
        <f>'Dia 7'!G39</f>
        <v>8.5</v>
      </c>
      <c r="E24" s="97">
        <f>'Dia 7'!I39</f>
        <v>85</v>
      </c>
      <c r="F24" s="97">
        <f>'Dia 7'!K39</f>
        <v>106.25</v>
      </c>
      <c r="G24" s="97">
        <f>'Dia 7'!O39</f>
        <v>1.0625</v>
      </c>
      <c r="H24" s="97">
        <f>'Dia 7'!M39</f>
        <v>1</v>
      </c>
      <c r="I24" s="123">
        <f>'Dia 7'!Q39</f>
        <v>0</v>
      </c>
      <c r="J24" s="123">
        <f>'Dia 7'!S39</f>
        <v>0</v>
      </c>
    </row>
    <row r="25" ht="15.75" customHeight="1">
      <c r="B25" s="114" t="s">
        <v>11</v>
      </c>
      <c r="C25" s="10"/>
      <c r="D25" s="97">
        <f>'Dia 7'!G41</f>
        <v>4.5</v>
      </c>
      <c r="E25" s="97">
        <f>'Dia 7'!I41</f>
        <v>45</v>
      </c>
      <c r="F25" s="97">
        <f>'Dia 7'!K41</f>
        <v>56.25</v>
      </c>
      <c r="G25" s="97">
        <f>'Dia 7'!O41</f>
        <v>0.07737618886</v>
      </c>
      <c r="H25" s="97">
        <f>'Dia 7'!M41</f>
        <v>0.1375576691</v>
      </c>
      <c r="I25" s="116">
        <f>'Dia 7'!Q41</f>
        <v>-0.4705882353</v>
      </c>
      <c r="J25" s="116">
        <f>'Dia 7'!S41</f>
        <v>-0.8624423309</v>
      </c>
    </row>
    <row r="26" ht="15.75" customHeight="1">
      <c r="B26" s="117"/>
      <c r="H26" s="118"/>
    </row>
    <row r="27" ht="15.75" customHeight="1">
      <c r="B27" s="117"/>
      <c r="H27" s="118"/>
    </row>
    <row r="28" ht="15.75" customHeight="1">
      <c r="H28" s="118"/>
    </row>
    <row r="29" ht="15.75" customHeight="1">
      <c r="H29" s="118"/>
    </row>
    <row r="30" ht="15.75" customHeight="1">
      <c r="H30" s="118"/>
    </row>
    <row r="31" ht="15.75" customHeight="1">
      <c r="H31" s="118"/>
    </row>
    <row r="32" ht="15.75" customHeight="1">
      <c r="H32" s="118"/>
    </row>
    <row r="33" ht="15.75" customHeight="1">
      <c r="H33" s="118"/>
    </row>
    <row r="34" ht="15.75" customHeight="1">
      <c r="H34" s="118"/>
    </row>
    <row r="35" ht="15.75" customHeight="1">
      <c r="H35" s="118"/>
    </row>
    <row r="36" ht="15.75" customHeight="1">
      <c r="H36" s="118"/>
    </row>
    <row r="37" ht="15.75" customHeight="1">
      <c r="H37" s="118"/>
    </row>
    <row r="38" ht="15.75" customHeight="1">
      <c r="H38" s="118"/>
    </row>
    <row r="39" ht="15.75" customHeight="1">
      <c r="H39" s="118"/>
    </row>
    <row r="40" ht="15.75" customHeight="1">
      <c r="H40" s="118"/>
    </row>
    <row r="41" ht="15.75" customHeight="1">
      <c r="H41" s="118"/>
    </row>
    <row r="42" ht="15.75" customHeight="1">
      <c r="H42" s="118"/>
    </row>
    <row r="43" ht="15.75" customHeight="1">
      <c r="H43" s="118"/>
    </row>
    <row r="44" ht="15.75" customHeight="1">
      <c r="H44" s="118"/>
    </row>
    <row r="45" ht="15.75" customHeight="1">
      <c r="H45" s="118"/>
    </row>
    <row r="46" ht="15.75" customHeight="1">
      <c r="H46" s="118"/>
    </row>
    <row r="47" ht="15.75" customHeight="1">
      <c r="H47" s="118"/>
    </row>
    <row r="48" ht="15.75" customHeight="1">
      <c r="H48" s="118"/>
    </row>
    <row r="49" ht="15.75" customHeight="1">
      <c r="H49" s="118"/>
    </row>
    <row r="50" ht="15.75" customHeight="1">
      <c r="H50" s="118"/>
    </row>
    <row r="51" ht="15.75" customHeight="1">
      <c r="H51" s="118"/>
    </row>
    <row r="52" ht="15.75" customHeight="1">
      <c r="H52" s="118"/>
    </row>
    <row r="53" ht="15.75" customHeight="1">
      <c r="H53" s="118"/>
    </row>
    <row r="54" ht="15.75" customHeight="1">
      <c r="H54" s="118"/>
    </row>
    <row r="55" ht="15.75" customHeight="1">
      <c r="H55" s="118"/>
    </row>
    <row r="56" ht="15.75" customHeight="1">
      <c r="H56" s="118"/>
    </row>
    <row r="57" ht="15.75" customHeight="1">
      <c r="H57" s="118"/>
    </row>
    <row r="58" ht="15.75" customHeight="1">
      <c r="H58" s="118"/>
    </row>
    <row r="59" ht="15.75" customHeight="1">
      <c r="H59" s="118"/>
    </row>
    <row r="60" ht="15.75" customHeight="1">
      <c r="H60" s="118"/>
    </row>
    <row r="61" ht="15.75" customHeight="1">
      <c r="H61" s="118"/>
    </row>
    <row r="62" ht="15.75" customHeight="1">
      <c r="H62" s="118"/>
    </row>
    <row r="63" ht="15.75" customHeight="1">
      <c r="H63" s="118"/>
    </row>
    <row r="64" ht="15.75" customHeight="1">
      <c r="H64" s="118"/>
    </row>
    <row r="65" ht="15.75" customHeight="1">
      <c r="H65" s="118"/>
    </row>
    <row r="66" ht="15.75" customHeight="1">
      <c r="H66" s="118"/>
    </row>
    <row r="67" ht="15.75" customHeight="1">
      <c r="H67" s="118"/>
    </row>
    <row r="68" ht="15.75" customHeight="1">
      <c r="H68" s="118"/>
    </row>
    <row r="69" ht="15.75" customHeight="1">
      <c r="H69" s="118"/>
    </row>
    <row r="70" ht="15.75" customHeight="1">
      <c r="H70" s="118"/>
    </row>
    <row r="71" ht="15.75" customHeight="1">
      <c r="H71" s="118"/>
    </row>
    <row r="72" ht="15.75" customHeight="1">
      <c r="H72" s="118"/>
    </row>
    <row r="73" ht="15.75" customHeight="1">
      <c r="H73" s="118"/>
    </row>
    <row r="74" ht="15.75" customHeight="1">
      <c r="H74" s="118"/>
    </row>
    <row r="75" ht="15.75" customHeight="1">
      <c r="H75" s="118"/>
    </row>
    <row r="76" ht="15.75" customHeight="1">
      <c r="H76" s="118"/>
    </row>
    <row r="77" ht="15.75" customHeight="1">
      <c r="H77" s="118"/>
    </row>
    <row r="78" ht="15.75" customHeight="1">
      <c r="H78" s="118"/>
    </row>
    <row r="79" ht="15.75" customHeight="1">
      <c r="H79" s="118"/>
    </row>
    <row r="80" ht="15.75" customHeight="1">
      <c r="H80" s="118"/>
    </row>
    <row r="81" ht="15.75" customHeight="1">
      <c r="H81" s="118"/>
    </row>
    <row r="82" ht="15.75" customHeight="1">
      <c r="H82" s="118"/>
    </row>
    <row r="83" ht="15.75" customHeight="1">
      <c r="H83" s="118"/>
    </row>
    <row r="84" ht="15.75" customHeight="1">
      <c r="H84" s="118"/>
    </row>
    <row r="85" ht="15.75" customHeight="1">
      <c r="H85" s="118"/>
    </row>
    <row r="86" ht="15.75" customHeight="1">
      <c r="H86" s="118"/>
    </row>
    <row r="87" ht="15.75" customHeight="1">
      <c r="H87" s="118"/>
    </row>
    <row r="88" ht="15.75" customHeight="1">
      <c r="H88" s="118"/>
    </row>
    <row r="89" ht="15.75" customHeight="1">
      <c r="H89" s="118"/>
    </row>
    <row r="90" ht="15.75" customHeight="1">
      <c r="H90" s="118"/>
    </row>
    <row r="91" ht="15.75" customHeight="1">
      <c r="H91" s="118"/>
    </row>
    <row r="92" ht="15.75" customHeight="1">
      <c r="H92" s="118"/>
    </row>
    <row r="93" ht="15.75" customHeight="1">
      <c r="H93" s="118"/>
    </row>
    <row r="94" ht="15.75" customHeight="1">
      <c r="H94" s="118"/>
    </row>
    <row r="95" ht="15.75" customHeight="1">
      <c r="H95" s="118"/>
    </row>
    <row r="96" ht="15.75" customHeight="1">
      <c r="H96" s="118"/>
    </row>
    <row r="97" ht="15.75" customHeight="1">
      <c r="H97" s="118"/>
    </row>
    <row r="98" ht="15.75" customHeight="1">
      <c r="H98" s="118"/>
    </row>
    <row r="99" ht="15.75" customHeight="1">
      <c r="H99" s="118"/>
    </row>
    <row r="100" ht="15.75" customHeight="1">
      <c r="H100" s="118"/>
    </row>
    <row r="101" ht="15.75" customHeight="1">
      <c r="H101" s="118"/>
    </row>
    <row r="102" ht="15.75" customHeight="1">
      <c r="H102" s="118"/>
    </row>
    <row r="103" ht="15.75" customHeight="1">
      <c r="H103" s="118"/>
    </row>
    <row r="104" ht="15.75" customHeight="1">
      <c r="H104" s="118"/>
    </row>
    <row r="105" ht="15.75" customHeight="1">
      <c r="H105" s="118"/>
    </row>
    <row r="106" ht="15.75" customHeight="1">
      <c r="H106" s="118"/>
    </row>
    <row r="107" ht="15.75" customHeight="1">
      <c r="H107" s="118"/>
    </row>
    <row r="108" ht="15.75" customHeight="1">
      <c r="H108" s="118"/>
    </row>
    <row r="109" ht="15.75" customHeight="1">
      <c r="H109" s="118"/>
    </row>
    <row r="110" ht="15.75" customHeight="1">
      <c r="H110" s="118"/>
    </row>
    <row r="111" ht="15.75" customHeight="1">
      <c r="H111" s="118"/>
    </row>
    <row r="112" ht="15.75" customHeight="1">
      <c r="H112" s="118"/>
    </row>
    <row r="113" ht="15.75" customHeight="1">
      <c r="H113" s="118"/>
    </row>
    <row r="114" ht="15.75" customHeight="1">
      <c r="H114" s="118"/>
    </row>
    <row r="115" ht="15.75" customHeight="1">
      <c r="H115" s="118"/>
    </row>
    <row r="116" ht="15.75" customHeight="1">
      <c r="H116" s="118"/>
    </row>
    <row r="117" ht="15.75" customHeight="1">
      <c r="H117" s="118"/>
    </row>
    <row r="118" ht="15.75" customHeight="1">
      <c r="H118" s="118"/>
    </row>
    <row r="119" ht="15.75" customHeight="1">
      <c r="H119" s="118"/>
    </row>
    <row r="120" ht="15.75" customHeight="1">
      <c r="H120" s="118"/>
    </row>
    <row r="121" ht="15.75" customHeight="1">
      <c r="H121" s="118"/>
    </row>
    <row r="122" ht="15.75" customHeight="1">
      <c r="H122" s="118"/>
    </row>
    <row r="123" ht="15.75" customHeight="1">
      <c r="H123" s="118"/>
    </row>
    <row r="124" ht="15.75" customHeight="1">
      <c r="H124" s="118"/>
    </row>
    <row r="125" ht="15.75" customHeight="1">
      <c r="H125" s="118"/>
    </row>
    <row r="126" ht="15.75" customHeight="1">
      <c r="H126" s="118"/>
    </row>
    <row r="127" ht="15.75" customHeight="1">
      <c r="H127" s="118"/>
    </row>
    <row r="128" ht="15.75" customHeight="1">
      <c r="H128" s="118"/>
    </row>
    <row r="129" ht="15.75" customHeight="1">
      <c r="H129" s="118"/>
    </row>
    <row r="130" ht="15.75" customHeight="1">
      <c r="H130" s="118"/>
    </row>
    <row r="131" ht="15.75" customHeight="1">
      <c r="H131" s="118"/>
    </row>
    <row r="132" ht="15.75" customHeight="1">
      <c r="H132" s="118"/>
    </row>
    <row r="133" ht="15.75" customHeight="1">
      <c r="H133" s="118"/>
    </row>
    <row r="134" ht="15.75" customHeight="1">
      <c r="H134" s="118"/>
    </row>
    <row r="135" ht="15.75" customHeight="1">
      <c r="H135" s="118"/>
    </row>
    <row r="136" ht="15.75" customHeight="1">
      <c r="H136" s="118"/>
    </row>
    <row r="137" ht="15.75" customHeight="1">
      <c r="H137" s="118"/>
    </row>
    <row r="138" ht="15.75" customHeight="1">
      <c r="H138" s="118"/>
    </row>
    <row r="139" ht="15.75" customHeight="1">
      <c r="H139" s="118"/>
    </row>
    <row r="140" ht="15.75" customHeight="1">
      <c r="H140" s="118"/>
    </row>
    <row r="141" ht="15.75" customHeight="1">
      <c r="H141" s="118"/>
    </row>
    <row r="142" ht="15.75" customHeight="1">
      <c r="H142" s="118"/>
    </row>
    <row r="143" ht="15.75" customHeight="1">
      <c r="H143" s="118"/>
    </row>
    <row r="144" ht="15.75" customHeight="1">
      <c r="H144" s="118"/>
    </row>
    <row r="145" ht="15.75" customHeight="1">
      <c r="H145" s="118"/>
    </row>
    <row r="146" ht="15.75" customHeight="1">
      <c r="H146" s="118"/>
    </row>
    <row r="147" ht="15.75" customHeight="1">
      <c r="H147" s="118"/>
    </row>
    <row r="148" ht="15.75" customHeight="1">
      <c r="H148" s="118"/>
    </row>
    <row r="149" ht="15.75" customHeight="1">
      <c r="H149" s="118"/>
    </row>
    <row r="150" ht="15.75" customHeight="1">
      <c r="H150" s="118"/>
    </row>
    <row r="151" ht="15.75" customHeight="1">
      <c r="H151" s="118"/>
    </row>
    <row r="152" ht="15.75" customHeight="1">
      <c r="H152" s="118"/>
    </row>
    <row r="153" ht="15.75" customHeight="1">
      <c r="H153" s="118"/>
    </row>
    <row r="154" ht="15.75" customHeight="1">
      <c r="H154" s="118"/>
    </row>
    <row r="155" ht="15.75" customHeight="1">
      <c r="H155" s="118"/>
    </row>
    <row r="156" ht="15.75" customHeight="1">
      <c r="H156" s="118"/>
    </row>
    <row r="157" ht="15.75" customHeight="1">
      <c r="H157" s="118"/>
    </row>
    <row r="158" ht="15.75" customHeight="1">
      <c r="H158" s="118"/>
    </row>
    <row r="159" ht="15.75" customHeight="1">
      <c r="H159" s="118"/>
    </row>
    <row r="160" ht="15.75" customHeight="1">
      <c r="H160" s="118"/>
    </row>
    <row r="161" ht="15.75" customHeight="1">
      <c r="H161" s="118"/>
    </row>
    <row r="162" ht="15.75" customHeight="1">
      <c r="H162" s="118"/>
    </row>
    <row r="163" ht="15.75" customHeight="1">
      <c r="H163" s="118"/>
    </row>
    <row r="164" ht="15.75" customHeight="1">
      <c r="H164" s="118"/>
    </row>
    <row r="165" ht="15.75" customHeight="1">
      <c r="H165" s="118"/>
    </row>
    <row r="166" ht="15.75" customHeight="1">
      <c r="H166" s="118"/>
    </row>
    <row r="167" ht="15.75" customHeight="1">
      <c r="H167" s="118"/>
    </row>
    <row r="168" ht="15.75" customHeight="1">
      <c r="H168" s="118"/>
    </row>
    <row r="169" ht="15.75" customHeight="1">
      <c r="H169" s="118"/>
    </row>
    <row r="170" ht="15.75" customHeight="1">
      <c r="H170" s="118"/>
    </row>
    <row r="171" ht="15.75" customHeight="1">
      <c r="H171" s="118"/>
    </row>
    <row r="172" ht="15.75" customHeight="1">
      <c r="H172" s="118"/>
    </row>
    <row r="173" ht="15.75" customHeight="1">
      <c r="H173" s="118"/>
    </row>
    <row r="174" ht="15.75" customHeight="1">
      <c r="H174" s="118"/>
    </row>
    <row r="175" ht="15.75" customHeight="1">
      <c r="H175" s="118"/>
    </row>
    <row r="176" ht="15.75" customHeight="1">
      <c r="H176" s="118"/>
    </row>
    <row r="177" ht="15.75" customHeight="1">
      <c r="H177" s="118"/>
    </row>
    <row r="178" ht="15.75" customHeight="1">
      <c r="H178" s="118"/>
    </row>
    <row r="179" ht="15.75" customHeight="1">
      <c r="H179" s="118"/>
    </row>
    <row r="180" ht="15.75" customHeight="1">
      <c r="H180" s="118"/>
    </row>
    <row r="181" ht="15.75" customHeight="1">
      <c r="H181" s="118"/>
    </row>
    <row r="182" ht="15.75" customHeight="1">
      <c r="H182" s="118"/>
    </row>
    <row r="183" ht="15.75" customHeight="1">
      <c r="H183" s="118"/>
    </row>
    <row r="184" ht="15.75" customHeight="1">
      <c r="H184" s="118"/>
    </row>
    <row r="185" ht="15.75" customHeight="1">
      <c r="H185" s="118"/>
    </row>
    <row r="186" ht="15.75" customHeight="1">
      <c r="H186" s="118"/>
    </row>
    <row r="187" ht="15.75" customHeight="1">
      <c r="H187" s="118"/>
    </row>
    <row r="188" ht="15.75" customHeight="1">
      <c r="H188" s="118"/>
    </row>
    <row r="189" ht="15.75" customHeight="1">
      <c r="H189" s="118"/>
    </row>
    <row r="190" ht="15.75" customHeight="1">
      <c r="H190" s="118"/>
    </row>
    <row r="191" ht="15.75" customHeight="1">
      <c r="H191" s="118"/>
    </row>
    <row r="192" ht="15.75" customHeight="1">
      <c r="H192" s="118"/>
    </row>
    <row r="193" ht="15.75" customHeight="1">
      <c r="H193" s="118"/>
    </row>
    <row r="194" ht="15.75" customHeight="1">
      <c r="H194" s="118"/>
    </row>
    <row r="195" ht="15.75" customHeight="1">
      <c r="H195" s="118"/>
    </row>
    <row r="196" ht="15.75" customHeight="1">
      <c r="H196" s="118"/>
    </row>
    <row r="197" ht="15.75" customHeight="1">
      <c r="H197" s="118"/>
    </row>
    <row r="198" ht="15.75" customHeight="1">
      <c r="H198" s="118"/>
    </row>
    <row r="199" ht="15.75" customHeight="1">
      <c r="H199" s="118"/>
    </row>
    <row r="200" ht="15.75" customHeight="1">
      <c r="H200" s="118"/>
    </row>
    <row r="201" ht="15.75" customHeight="1">
      <c r="H201" s="118"/>
    </row>
    <row r="202" ht="15.75" customHeight="1">
      <c r="H202" s="118"/>
    </row>
    <row r="203" ht="15.75" customHeight="1">
      <c r="H203" s="118"/>
    </row>
    <row r="204" ht="15.75" customHeight="1">
      <c r="H204" s="118"/>
    </row>
    <row r="205" ht="15.75" customHeight="1">
      <c r="H205" s="118"/>
    </row>
    <row r="206" ht="15.75" customHeight="1">
      <c r="H206" s="118"/>
    </row>
    <row r="207" ht="15.75" customHeight="1">
      <c r="H207" s="118"/>
    </row>
    <row r="208" ht="15.75" customHeight="1">
      <c r="H208" s="118"/>
    </row>
    <row r="209" ht="15.75" customHeight="1">
      <c r="H209" s="118"/>
    </row>
    <row r="210" ht="15.75" customHeight="1">
      <c r="H210" s="118"/>
    </row>
    <row r="211" ht="15.75" customHeight="1">
      <c r="H211" s="118"/>
    </row>
    <row r="212" ht="15.75" customHeight="1">
      <c r="H212" s="118"/>
    </row>
    <row r="213" ht="15.75" customHeight="1">
      <c r="H213" s="118"/>
    </row>
    <row r="214" ht="15.75" customHeight="1">
      <c r="H214" s="118"/>
    </row>
    <row r="215" ht="15.75" customHeight="1">
      <c r="H215" s="118"/>
    </row>
    <row r="216" ht="15.75" customHeight="1">
      <c r="H216" s="118"/>
    </row>
    <row r="217" ht="15.75" customHeight="1">
      <c r="H217" s="118"/>
    </row>
    <row r="218" ht="15.75" customHeight="1">
      <c r="H218" s="118"/>
    </row>
    <row r="219" ht="15.75" customHeight="1">
      <c r="H219" s="118"/>
    </row>
    <row r="220" ht="15.75" customHeight="1">
      <c r="H220" s="118"/>
    </row>
    <row r="221" ht="15.75" customHeight="1">
      <c r="H221" s="118"/>
    </row>
    <row r="222" ht="15.75" customHeight="1">
      <c r="H222" s="118"/>
    </row>
    <row r="223" ht="15.75" customHeight="1">
      <c r="H223" s="118"/>
    </row>
    <row r="224" ht="15.75" customHeight="1">
      <c r="H224" s="118"/>
    </row>
    <row r="225" ht="15.75" customHeight="1">
      <c r="H225" s="118"/>
    </row>
    <row r="226" ht="15.75" customHeight="1">
      <c r="H226" s="118"/>
    </row>
    <row r="227" ht="15.75" customHeight="1">
      <c r="H227" s="118"/>
    </row>
    <row r="228" ht="15.75" customHeight="1">
      <c r="H228" s="118"/>
    </row>
    <row r="229" ht="15.75" customHeight="1">
      <c r="H229" s="118"/>
    </row>
    <row r="230" ht="15.75" customHeight="1">
      <c r="H230" s="118"/>
    </row>
    <row r="231" ht="15.75" customHeight="1">
      <c r="H231" s="118"/>
    </row>
    <row r="232" ht="15.75" customHeight="1">
      <c r="H232" s="118"/>
    </row>
    <row r="233" ht="15.75" customHeight="1">
      <c r="H233" s="118"/>
    </row>
    <row r="234" ht="15.75" customHeight="1">
      <c r="H234" s="118"/>
    </row>
    <row r="235" ht="15.75" customHeight="1">
      <c r="H235" s="118"/>
    </row>
    <row r="236" ht="15.75" customHeight="1">
      <c r="H236" s="118"/>
    </row>
    <row r="237" ht="15.75" customHeight="1">
      <c r="H237" s="118"/>
    </row>
    <row r="238" ht="15.75" customHeight="1">
      <c r="H238" s="118"/>
    </row>
    <row r="239" ht="15.75" customHeight="1">
      <c r="H239" s="118"/>
    </row>
    <row r="240" ht="15.75" customHeight="1">
      <c r="H240" s="118"/>
    </row>
    <row r="241" ht="15.75" customHeight="1">
      <c r="H241" s="118"/>
    </row>
    <row r="242" ht="15.75" customHeight="1">
      <c r="H242" s="118"/>
    </row>
    <row r="243" ht="15.75" customHeight="1">
      <c r="H243" s="118"/>
    </row>
    <row r="244" ht="15.75" customHeight="1">
      <c r="H244" s="118"/>
    </row>
    <row r="245" ht="15.75" customHeight="1">
      <c r="H245" s="118"/>
    </row>
    <row r="246" ht="15.75" customHeight="1">
      <c r="H246" s="118"/>
    </row>
    <row r="247" ht="15.75" customHeight="1">
      <c r="H247" s="118"/>
    </row>
    <row r="248" ht="15.75" customHeight="1">
      <c r="H248" s="118"/>
    </row>
    <row r="249" ht="15.75" customHeight="1">
      <c r="H249" s="118"/>
    </row>
    <row r="250" ht="15.75" customHeight="1">
      <c r="H250" s="118"/>
    </row>
    <row r="251" ht="15.75" customHeight="1">
      <c r="H251" s="118"/>
    </row>
    <row r="252" ht="15.75" customHeight="1">
      <c r="H252" s="118"/>
    </row>
    <row r="253" ht="15.75" customHeight="1">
      <c r="H253" s="118"/>
    </row>
    <row r="254" ht="15.75" customHeight="1">
      <c r="H254" s="118"/>
    </row>
    <row r="255" ht="15.75" customHeight="1">
      <c r="H255" s="118"/>
    </row>
    <row r="256" ht="15.75" customHeight="1">
      <c r="H256" s="118"/>
    </row>
    <row r="257" ht="15.75" customHeight="1">
      <c r="H257" s="118"/>
    </row>
    <row r="258" ht="15.75" customHeight="1">
      <c r="H258" s="118"/>
    </row>
    <row r="259" ht="15.75" customHeight="1">
      <c r="H259" s="118"/>
    </row>
    <row r="260" ht="15.75" customHeight="1">
      <c r="H260" s="118"/>
    </row>
    <row r="261" ht="15.75" customHeight="1">
      <c r="H261" s="118"/>
    </row>
    <row r="262" ht="15.75" customHeight="1">
      <c r="H262" s="118"/>
    </row>
    <row r="263" ht="15.75" customHeight="1">
      <c r="H263" s="118"/>
    </row>
    <row r="264" ht="15.75" customHeight="1">
      <c r="H264" s="118"/>
    </row>
    <row r="265" ht="15.75" customHeight="1">
      <c r="H265" s="118"/>
    </row>
    <row r="266" ht="15.75" customHeight="1">
      <c r="H266" s="118"/>
    </row>
    <row r="267" ht="15.75" customHeight="1">
      <c r="H267" s="118"/>
    </row>
    <row r="268" ht="15.75" customHeight="1">
      <c r="H268" s="118"/>
    </row>
    <row r="269" ht="15.75" customHeight="1">
      <c r="H269" s="118"/>
    </row>
    <row r="270" ht="15.75" customHeight="1">
      <c r="H270" s="118"/>
    </row>
    <row r="271" ht="15.75" customHeight="1">
      <c r="H271" s="118"/>
    </row>
    <row r="272" ht="15.75" customHeight="1">
      <c r="H272" s="118"/>
    </row>
    <row r="273" ht="15.75" customHeight="1">
      <c r="H273" s="118"/>
    </row>
    <row r="274" ht="15.75" customHeight="1">
      <c r="H274" s="118"/>
    </row>
    <row r="275" ht="15.75" customHeight="1">
      <c r="H275" s="118"/>
    </row>
    <row r="276" ht="15.75" customHeight="1">
      <c r="H276" s="118"/>
    </row>
    <row r="277" ht="15.75" customHeight="1">
      <c r="H277" s="118"/>
    </row>
    <row r="278" ht="15.75" customHeight="1">
      <c r="H278" s="118"/>
    </row>
    <row r="279" ht="15.75" customHeight="1">
      <c r="H279" s="118"/>
    </row>
    <row r="280" ht="15.75" customHeight="1">
      <c r="H280" s="118"/>
    </row>
    <row r="281" ht="15.75" customHeight="1">
      <c r="H281" s="118"/>
    </row>
    <row r="282" ht="15.75" customHeight="1">
      <c r="H282" s="118"/>
    </row>
    <row r="283" ht="15.75" customHeight="1">
      <c r="H283" s="118"/>
    </row>
    <row r="284" ht="15.75" customHeight="1">
      <c r="H284" s="118"/>
    </row>
    <row r="285" ht="15.75" customHeight="1">
      <c r="H285" s="118"/>
    </row>
    <row r="286" ht="15.75" customHeight="1">
      <c r="H286" s="118"/>
    </row>
    <row r="287" ht="15.75" customHeight="1">
      <c r="H287" s="118"/>
    </row>
    <row r="288" ht="15.75" customHeight="1">
      <c r="H288" s="118"/>
    </row>
    <row r="289" ht="15.75" customHeight="1">
      <c r="H289" s="118"/>
    </row>
    <row r="290" ht="15.75" customHeight="1">
      <c r="H290" s="118"/>
    </row>
    <row r="291" ht="15.75" customHeight="1">
      <c r="H291" s="118"/>
    </row>
    <row r="292" ht="15.75" customHeight="1">
      <c r="H292" s="118"/>
    </row>
    <row r="293" ht="15.75" customHeight="1">
      <c r="H293" s="118"/>
    </row>
    <row r="294" ht="15.75" customHeight="1">
      <c r="H294" s="118"/>
    </row>
    <row r="295" ht="15.75" customHeight="1">
      <c r="H295" s="118"/>
    </row>
    <row r="296" ht="15.75" customHeight="1">
      <c r="H296" s="118"/>
    </row>
    <row r="297" ht="15.75" customHeight="1">
      <c r="H297" s="118"/>
    </row>
    <row r="298" ht="15.75" customHeight="1">
      <c r="H298" s="118"/>
    </row>
    <row r="299" ht="15.75" customHeight="1">
      <c r="H299" s="118"/>
    </row>
    <row r="300" ht="15.75" customHeight="1">
      <c r="H300" s="118"/>
    </row>
    <row r="301" ht="15.75" customHeight="1">
      <c r="H301" s="118"/>
    </row>
    <row r="302" ht="15.75" customHeight="1">
      <c r="H302" s="118"/>
    </row>
    <row r="303" ht="15.75" customHeight="1">
      <c r="H303" s="118"/>
    </row>
    <row r="304" ht="15.75" customHeight="1">
      <c r="H304" s="118"/>
    </row>
    <row r="305" ht="15.75" customHeight="1">
      <c r="H305" s="118"/>
    </row>
    <row r="306" ht="15.75" customHeight="1">
      <c r="H306" s="118"/>
    </row>
    <row r="307" ht="15.75" customHeight="1">
      <c r="H307" s="118"/>
    </row>
    <row r="308" ht="15.75" customHeight="1">
      <c r="H308" s="118"/>
    </row>
    <row r="309" ht="15.75" customHeight="1">
      <c r="H309" s="118"/>
    </row>
    <row r="310" ht="15.75" customHeight="1">
      <c r="H310" s="118"/>
    </row>
    <row r="311" ht="15.75" customHeight="1">
      <c r="H311" s="118"/>
    </row>
    <row r="312" ht="15.75" customHeight="1">
      <c r="H312" s="118"/>
    </row>
    <row r="313" ht="15.75" customHeight="1">
      <c r="H313" s="118"/>
    </row>
    <row r="314" ht="15.75" customHeight="1">
      <c r="H314" s="118"/>
    </row>
    <row r="315" ht="15.75" customHeight="1">
      <c r="H315" s="118"/>
    </row>
    <row r="316" ht="15.75" customHeight="1">
      <c r="H316" s="118"/>
    </row>
    <row r="317" ht="15.75" customHeight="1">
      <c r="H317" s="118"/>
    </row>
    <row r="318" ht="15.75" customHeight="1">
      <c r="H318" s="118"/>
    </row>
    <row r="319" ht="15.75" customHeight="1">
      <c r="H319" s="118"/>
    </row>
    <row r="320" ht="15.75" customHeight="1">
      <c r="H320" s="118"/>
    </row>
    <row r="321" ht="15.75" customHeight="1">
      <c r="H321" s="118"/>
    </row>
    <row r="322" ht="15.75" customHeight="1">
      <c r="H322" s="118"/>
    </row>
    <row r="323" ht="15.75" customHeight="1">
      <c r="H323" s="118"/>
    </row>
    <row r="324" ht="15.75" customHeight="1">
      <c r="H324" s="118"/>
    </row>
    <row r="325" ht="15.75" customHeight="1">
      <c r="H325" s="118"/>
    </row>
    <row r="326" ht="15.75" customHeight="1">
      <c r="H326" s="118"/>
    </row>
    <row r="327" ht="15.75" customHeight="1">
      <c r="H327" s="118"/>
    </row>
    <row r="328" ht="15.75" customHeight="1">
      <c r="H328" s="118"/>
    </row>
    <row r="329" ht="15.75" customHeight="1">
      <c r="H329" s="118"/>
    </row>
    <row r="330" ht="15.75" customHeight="1">
      <c r="H330" s="118"/>
    </row>
    <row r="331" ht="15.75" customHeight="1">
      <c r="H331" s="118"/>
    </row>
    <row r="332" ht="15.75" customHeight="1">
      <c r="H332" s="118"/>
    </row>
    <row r="333" ht="15.75" customHeight="1">
      <c r="H333" s="118"/>
    </row>
    <row r="334" ht="15.75" customHeight="1">
      <c r="H334" s="118"/>
    </row>
    <row r="335" ht="15.75" customHeight="1">
      <c r="H335" s="118"/>
    </row>
    <row r="336" ht="15.75" customHeight="1">
      <c r="H336" s="118"/>
    </row>
    <row r="337" ht="15.75" customHeight="1">
      <c r="H337" s="118"/>
    </row>
    <row r="338" ht="15.75" customHeight="1">
      <c r="H338" s="118"/>
    </row>
    <row r="339" ht="15.75" customHeight="1">
      <c r="H339" s="118"/>
    </row>
    <row r="340" ht="15.75" customHeight="1">
      <c r="H340" s="118"/>
    </row>
    <row r="341" ht="15.75" customHeight="1">
      <c r="H341" s="118"/>
    </row>
    <row r="342" ht="15.75" customHeight="1">
      <c r="H342" s="118"/>
    </row>
    <row r="343" ht="15.75" customHeight="1">
      <c r="H343" s="118"/>
    </row>
    <row r="344" ht="15.75" customHeight="1">
      <c r="H344" s="118"/>
    </row>
    <row r="345" ht="15.75" customHeight="1">
      <c r="H345" s="118"/>
    </row>
    <row r="346" ht="15.75" customHeight="1">
      <c r="H346" s="118"/>
    </row>
    <row r="347" ht="15.75" customHeight="1">
      <c r="H347" s="118"/>
    </row>
    <row r="348" ht="15.75" customHeight="1">
      <c r="H348" s="118"/>
    </row>
    <row r="349" ht="15.75" customHeight="1">
      <c r="H349" s="118"/>
    </row>
    <row r="350" ht="15.75" customHeight="1">
      <c r="H350" s="118"/>
    </row>
    <row r="351" ht="15.75" customHeight="1">
      <c r="H351" s="118"/>
    </row>
    <row r="352" ht="15.75" customHeight="1">
      <c r="H352" s="118"/>
    </row>
    <row r="353" ht="15.75" customHeight="1">
      <c r="H353" s="118"/>
    </row>
    <row r="354" ht="15.75" customHeight="1">
      <c r="H354" s="118"/>
    </row>
    <row r="355" ht="15.75" customHeight="1">
      <c r="H355" s="118"/>
    </row>
    <row r="356" ht="15.75" customHeight="1">
      <c r="H356" s="118"/>
    </row>
    <row r="357" ht="15.75" customHeight="1">
      <c r="H357" s="118"/>
    </row>
    <row r="358" ht="15.75" customHeight="1">
      <c r="H358" s="118"/>
    </row>
    <row r="359" ht="15.75" customHeight="1">
      <c r="H359" s="118"/>
    </row>
    <row r="360" ht="15.75" customHeight="1">
      <c r="H360" s="118"/>
    </row>
    <row r="361" ht="15.75" customHeight="1">
      <c r="H361" s="118"/>
    </row>
    <row r="362" ht="15.75" customHeight="1">
      <c r="H362" s="118"/>
    </row>
    <row r="363" ht="15.75" customHeight="1">
      <c r="H363" s="118"/>
    </row>
    <row r="364" ht="15.75" customHeight="1">
      <c r="H364" s="118"/>
    </row>
    <row r="365" ht="15.75" customHeight="1">
      <c r="H365" s="118"/>
    </row>
    <row r="366" ht="15.75" customHeight="1">
      <c r="H366" s="118"/>
    </row>
    <row r="367" ht="15.75" customHeight="1">
      <c r="H367" s="118"/>
    </row>
    <row r="368" ht="15.75" customHeight="1">
      <c r="H368" s="118"/>
    </row>
    <row r="369" ht="15.75" customHeight="1">
      <c r="H369" s="118"/>
    </row>
    <row r="370" ht="15.75" customHeight="1">
      <c r="H370" s="118"/>
    </row>
    <row r="371" ht="15.75" customHeight="1">
      <c r="H371" s="118"/>
    </row>
    <row r="372" ht="15.75" customHeight="1">
      <c r="H372" s="118"/>
    </row>
    <row r="373" ht="15.75" customHeight="1">
      <c r="H373" s="118"/>
    </row>
    <row r="374" ht="15.75" customHeight="1">
      <c r="H374" s="118"/>
    </row>
    <row r="375" ht="15.75" customHeight="1">
      <c r="H375" s="118"/>
    </row>
    <row r="376" ht="15.75" customHeight="1">
      <c r="H376" s="118"/>
    </row>
    <row r="377" ht="15.75" customHeight="1">
      <c r="H377" s="118"/>
    </row>
    <row r="378" ht="15.75" customHeight="1">
      <c r="H378" s="118"/>
    </row>
    <row r="379" ht="15.75" customHeight="1">
      <c r="H379" s="118"/>
    </row>
    <row r="380" ht="15.75" customHeight="1">
      <c r="H380" s="118"/>
    </row>
    <row r="381" ht="15.75" customHeight="1">
      <c r="H381" s="118"/>
    </row>
    <row r="382" ht="15.75" customHeight="1">
      <c r="H382" s="118"/>
    </row>
    <row r="383" ht="15.75" customHeight="1">
      <c r="H383" s="118"/>
    </row>
    <row r="384" ht="15.75" customHeight="1">
      <c r="H384" s="118"/>
    </row>
    <row r="385" ht="15.75" customHeight="1">
      <c r="H385" s="118"/>
    </row>
    <row r="386" ht="15.75" customHeight="1">
      <c r="H386" s="118"/>
    </row>
    <row r="387" ht="15.75" customHeight="1">
      <c r="H387" s="118"/>
    </row>
    <row r="388" ht="15.75" customHeight="1">
      <c r="H388" s="118"/>
    </row>
    <row r="389" ht="15.75" customHeight="1">
      <c r="H389" s="118"/>
    </row>
    <row r="390" ht="15.75" customHeight="1">
      <c r="H390" s="118"/>
    </row>
    <row r="391" ht="15.75" customHeight="1">
      <c r="H391" s="118"/>
    </row>
    <row r="392" ht="15.75" customHeight="1">
      <c r="H392" s="118"/>
    </row>
    <row r="393" ht="15.75" customHeight="1">
      <c r="H393" s="118"/>
    </row>
    <row r="394" ht="15.75" customHeight="1">
      <c r="H394" s="118"/>
    </row>
    <row r="395" ht="15.75" customHeight="1">
      <c r="H395" s="118"/>
    </row>
    <row r="396" ht="15.75" customHeight="1">
      <c r="H396" s="118"/>
    </row>
    <row r="397" ht="15.75" customHeight="1">
      <c r="H397" s="118"/>
    </row>
    <row r="398" ht="15.75" customHeight="1">
      <c r="H398" s="118"/>
    </row>
    <row r="399" ht="15.75" customHeight="1">
      <c r="H399" s="118"/>
    </row>
    <row r="400" ht="15.75" customHeight="1">
      <c r="H400" s="118"/>
    </row>
    <row r="401" ht="15.75" customHeight="1">
      <c r="H401" s="118"/>
    </row>
    <row r="402" ht="15.75" customHeight="1">
      <c r="H402" s="118"/>
    </row>
    <row r="403" ht="15.75" customHeight="1">
      <c r="H403" s="118"/>
    </row>
    <row r="404" ht="15.75" customHeight="1">
      <c r="H404" s="118"/>
    </row>
    <row r="405" ht="15.75" customHeight="1">
      <c r="H405" s="118"/>
    </row>
    <row r="406" ht="15.75" customHeight="1">
      <c r="H406" s="118"/>
    </row>
    <row r="407" ht="15.75" customHeight="1">
      <c r="H407" s="118"/>
    </row>
    <row r="408" ht="15.75" customHeight="1">
      <c r="H408" s="118"/>
    </row>
    <row r="409" ht="15.75" customHeight="1">
      <c r="H409" s="118"/>
    </row>
    <row r="410" ht="15.75" customHeight="1">
      <c r="H410" s="118"/>
    </row>
    <row r="411" ht="15.75" customHeight="1">
      <c r="H411" s="118"/>
    </row>
    <row r="412" ht="15.75" customHeight="1">
      <c r="H412" s="118"/>
    </row>
    <row r="413" ht="15.75" customHeight="1">
      <c r="H413" s="118"/>
    </row>
    <row r="414" ht="15.75" customHeight="1">
      <c r="H414" s="118"/>
    </row>
    <row r="415" ht="15.75" customHeight="1">
      <c r="H415" s="118"/>
    </row>
    <row r="416" ht="15.75" customHeight="1">
      <c r="H416" s="118"/>
    </row>
    <row r="417" ht="15.75" customHeight="1">
      <c r="H417" s="118"/>
    </row>
    <row r="418" ht="15.75" customHeight="1">
      <c r="H418" s="118"/>
    </row>
    <row r="419" ht="15.75" customHeight="1">
      <c r="H419" s="118"/>
    </row>
    <row r="420" ht="15.75" customHeight="1">
      <c r="H420" s="118"/>
    </row>
    <row r="421" ht="15.75" customHeight="1">
      <c r="H421" s="118"/>
    </row>
    <row r="422" ht="15.75" customHeight="1">
      <c r="H422" s="118"/>
    </row>
    <row r="423" ht="15.75" customHeight="1">
      <c r="H423" s="118"/>
    </row>
    <row r="424" ht="15.75" customHeight="1">
      <c r="H424" s="118"/>
    </row>
    <row r="425" ht="15.75" customHeight="1">
      <c r="H425" s="118"/>
    </row>
    <row r="426" ht="15.75" customHeight="1">
      <c r="H426" s="118"/>
    </row>
    <row r="427" ht="15.75" customHeight="1">
      <c r="H427" s="118"/>
    </row>
    <row r="428" ht="15.75" customHeight="1">
      <c r="H428" s="118"/>
    </row>
    <row r="429" ht="15.75" customHeight="1">
      <c r="H429" s="118"/>
    </row>
    <row r="430" ht="15.75" customHeight="1">
      <c r="H430" s="118"/>
    </row>
    <row r="431" ht="15.75" customHeight="1">
      <c r="H431" s="118"/>
    </row>
    <row r="432" ht="15.75" customHeight="1">
      <c r="H432" s="118"/>
    </row>
    <row r="433" ht="15.75" customHeight="1">
      <c r="H433" s="118"/>
    </row>
    <row r="434" ht="15.75" customHeight="1">
      <c r="H434" s="118"/>
    </row>
    <row r="435" ht="15.75" customHeight="1">
      <c r="H435" s="118"/>
    </row>
    <row r="436" ht="15.75" customHeight="1">
      <c r="H436" s="118"/>
    </row>
    <row r="437" ht="15.75" customHeight="1">
      <c r="H437" s="118"/>
    </row>
    <row r="438" ht="15.75" customHeight="1">
      <c r="H438" s="118"/>
    </row>
    <row r="439" ht="15.75" customHeight="1">
      <c r="H439" s="118"/>
    </row>
    <row r="440" ht="15.75" customHeight="1">
      <c r="H440" s="118"/>
    </row>
    <row r="441" ht="15.75" customHeight="1">
      <c r="H441" s="118"/>
    </row>
    <row r="442" ht="15.75" customHeight="1">
      <c r="H442" s="118"/>
    </row>
    <row r="443" ht="15.75" customHeight="1">
      <c r="H443" s="118"/>
    </row>
    <row r="444" ht="15.75" customHeight="1">
      <c r="H444" s="118"/>
    </row>
    <row r="445" ht="15.75" customHeight="1">
      <c r="H445" s="118"/>
    </row>
    <row r="446" ht="15.75" customHeight="1">
      <c r="H446" s="118"/>
    </row>
    <row r="447" ht="15.75" customHeight="1">
      <c r="H447" s="118"/>
    </row>
    <row r="448" ht="15.75" customHeight="1">
      <c r="H448" s="118"/>
    </row>
    <row r="449" ht="15.75" customHeight="1">
      <c r="H449" s="118"/>
    </row>
    <row r="450" ht="15.75" customHeight="1">
      <c r="H450" s="118"/>
    </row>
    <row r="451" ht="15.75" customHeight="1">
      <c r="H451" s="118"/>
    </row>
    <row r="452" ht="15.75" customHeight="1">
      <c r="H452" s="118"/>
    </row>
    <row r="453" ht="15.75" customHeight="1">
      <c r="H453" s="118"/>
    </row>
    <row r="454" ht="15.75" customHeight="1">
      <c r="H454" s="118"/>
    </row>
    <row r="455" ht="15.75" customHeight="1">
      <c r="H455" s="118"/>
    </row>
    <row r="456" ht="15.75" customHeight="1">
      <c r="H456" s="118"/>
    </row>
    <row r="457" ht="15.75" customHeight="1">
      <c r="H457" s="118"/>
    </row>
    <row r="458" ht="15.75" customHeight="1">
      <c r="H458" s="118"/>
    </row>
    <row r="459" ht="15.75" customHeight="1">
      <c r="H459" s="118"/>
    </row>
    <row r="460" ht="15.75" customHeight="1">
      <c r="H460" s="118"/>
    </row>
    <row r="461" ht="15.75" customHeight="1">
      <c r="H461" s="118"/>
    </row>
    <row r="462" ht="15.75" customHeight="1">
      <c r="H462" s="118"/>
    </row>
    <row r="463" ht="15.75" customHeight="1">
      <c r="H463" s="118"/>
    </row>
    <row r="464" ht="15.75" customHeight="1">
      <c r="H464" s="118"/>
    </row>
    <row r="465" ht="15.75" customHeight="1">
      <c r="H465" s="118"/>
    </row>
    <row r="466" ht="15.75" customHeight="1">
      <c r="H466" s="118"/>
    </row>
    <row r="467" ht="15.75" customHeight="1">
      <c r="H467" s="118"/>
    </row>
    <row r="468" ht="15.75" customHeight="1">
      <c r="H468" s="118"/>
    </row>
    <row r="469" ht="15.75" customHeight="1">
      <c r="H469" s="118"/>
    </row>
    <row r="470" ht="15.75" customHeight="1">
      <c r="H470" s="118"/>
    </row>
    <row r="471" ht="15.75" customHeight="1">
      <c r="H471" s="118"/>
    </row>
    <row r="472" ht="15.75" customHeight="1">
      <c r="H472" s="118"/>
    </row>
    <row r="473" ht="15.75" customHeight="1">
      <c r="H473" s="118"/>
    </row>
    <row r="474" ht="15.75" customHeight="1">
      <c r="H474" s="118"/>
    </row>
    <row r="475" ht="15.75" customHeight="1">
      <c r="H475" s="118"/>
    </row>
    <row r="476" ht="15.75" customHeight="1">
      <c r="H476" s="118"/>
    </row>
    <row r="477" ht="15.75" customHeight="1">
      <c r="H477" s="118"/>
    </row>
    <row r="478" ht="15.75" customHeight="1">
      <c r="H478" s="118"/>
    </row>
    <row r="479" ht="15.75" customHeight="1">
      <c r="H479" s="118"/>
    </row>
    <row r="480" ht="15.75" customHeight="1">
      <c r="H480" s="118"/>
    </row>
    <row r="481" ht="15.75" customHeight="1">
      <c r="H481" s="118"/>
    </row>
    <row r="482" ht="15.75" customHeight="1">
      <c r="H482" s="118"/>
    </row>
    <row r="483" ht="15.75" customHeight="1">
      <c r="H483" s="118"/>
    </row>
    <row r="484" ht="15.75" customHeight="1">
      <c r="H484" s="118"/>
    </row>
    <row r="485" ht="15.75" customHeight="1">
      <c r="H485" s="118"/>
    </row>
    <row r="486" ht="15.75" customHeight="1">
      <c r="H486" s="118"/>
    </row>
    <row r="487" ht="15.75" customHeight="1">
      <c r="H487" s="118"/>
    </row>
    <row r="488" ht="15.75" customHeight="1">
      <c r="H488" s="118"/>
    </row>
    <row r="489" ht="15.75" customHeight="1">
      <c r="H489" s="118"/>
    </row>
    <row r="490" ht="15.75" customHeight="1">
      <c r="H490" s="118"/>
    </row>
    <row r="491" ht="15.75" customHeight="1">
      <c r="H491" s="118"/>
    </row>
    <row r="492" ht="15.75" customHeight="1">
      <c r="H492" s="118"/>
    </row>
    <row r="493" ht="15.75" customHeight="1">
      <c r="H493" s="118"/>
    </row>
    <row r="494" ht="15.75" customHeight="1">
      <c r="H494" s="118"/>
    </row>
    <row r="495" ht="15.75" customHeight="1">
      <c r="H495" s="118"/>
    </row>
    <row r="496" ht="15.75" customHeight="1">
      <c r="H496" s="118"/>
    </row>
    <row r="497" ht="15.75" customHeight="1">
      <c r="H497" s="118"/>
    </row>
    <row r="498" ht="15.75" customHeight="1">
      <c r="H498" s="118"/>
    </row>
    <row r="499" ht="15.75" customHeight="1">
      <c r="H499" s="118"/>
    </row>
    <row r="500" ht="15.75" customHeight="1">
      <c r="H500" s="118"/>
    </row>
    <row r="501" ht="15.75" customHeight="1">
      <c r="H501" s="118"/>
    </row>
    <row r="502" ht="15.75" customHeight="1">
      <c r="H502" s="118"/>
    </row>
    <row r="503" ht="15.75" customHeight="1">
      <c r="H503" s="118"/>
    </row>
    <row r="504" ht="15.75" customHeight="1">
      <c r="H504" s="118"/>
    </row>
    <row r="505" ht="15.75" customHeight="1">
      <c r="H505" s="118"/>
    </row>
    <row r="506" ht="15.75" customHeight="1">
      <c r="H506" s="118"/>
    </row>
    <row r="507" ht="15.75" customHeight="1">
      <c r="H507" s="118"/>
    </row>
    <row r="508" ht="15.75" customHeight="1">
      <c r="H508" s="118"/>
    </row>
    <row r="509" ht="15.75" customHeight="1">
      <c r="H509" s="118"/>
    </row>
    <row r="510" ht="15.75" customHeight="1">
      <c r="H510" s="118"/>
    </row>
    <row r="511" ht="15.75" customHeight="1">
      <c r="H511" s="118"/>
    </row>
    <row r="512" ht="15.75" customHeight="1">
      <c r="H512" s="118"/>
    </row>
    <row r="513" ht="15.75" customHeight="1">
      <c r="H513" s="118"/>
    </row>
    <row r="514" ht="15.75" customHeight="1">
      <c r="H514" s="118"/>
    </row>
    <row r="515" ht="15.75" customHeight="1">
      <c r="H515" s="118"/>
    </row>
    <row r="516" ht="15.75" customHeight="1">
      <c r="H516" s="118"/>
    </row>
    <row r="517" ht="15.75" customHeight="1">
      <c r="H517" s="118"/>
    </row>
    <row r="518" ht="15.75" customHeight="1">
      <c r="H518" s="118"/>
    </row>
    <row r="519" ht="15.75" customHeight="1">
      <c r="H519" s="118"/>
    </row>
    <row r="520" ht="15.75" customHeight="1">
      <c r="H520" s="118"/>
    </row>
    <row r="521" ht="15.75" customHeight="1">
      <c r="H521" s="118"/>
    </row>
    <row r="522" ht="15.75" customHeight="1">
      <c r="H522" s="118"/>
    </row>
    <row r="523" ht="15.75" customHeight="1">
      <c r="H523" s="118"/>
    </row>
    <row r="524" ht="15.75" customHeight="1">
      <c r="H524" s="118"/>
    </row>
    <row r="525" ht="15.75" customHeight="1">
      <c r="H525" s="118"/>
    </row>
    <row r="526" ht="15.75" customHeight="1">
      <c r="H526" s="118"/>
    </row>
    <row r="527" ht="15.75" customHeight="1">
      <c r="H527" s="118"/>
    </row>
    <row r="528" ht="15.75" customHeight="1">
      <c r="H528" s="118"/>
    </row>
    <row r="529" ht="15.75" customHeight="1">
      <c r="H529" s="118"/>
    </row>
    <row r="530" ht="15.75" customHeight="1">
      <c r="H530" s="118"/>
    </row>
    <row r="531" ht="15.75" customHeight="1">
      <c r="H531" s="118"/>
    </row>
    <row r="532" ht="15.75" customHeight="1">
      <c r="H532" s="118"/>
    </row>
    <row r="533" ht="15.75" customHeight="1">
      <c r="H533" s="118"/>
    </row>
    <row r="534" ht="15.75" customHeight="1">
      <c r="H534" s="118"/>
    </row>
    <row r="535" ht="15.75" customHeight="1">
      <c r="H535" s="118"/>
    </row>
    <row r="536" ht="15.75" customHeight="1">
      <c r="H536" s="118"/>
    </row>
    <row r="537" ht="15.75" customHeight="1">
      <c r="H537" s="118"/>
    </row>
    <row r="538" ht="15.75" customHeight="1">
      <c r="H538" s="118"/>
    </row>
    <row r="539" ht="15.75" customHeight="1">
      <c r="H539" s="118"/>
    </row>
    <row r="540" ht="15.75" customHeight="1">
      <c r="H540" s="118"/>
    </row>
    <row r="541" ht="15.75" customHeight="1">
      <c r="H541" s="118"/>
    </row>
    <row r="542" ht="15.75" customHeight="1">
      <c r="H542" s="118"/>
    </row>
    <row r="543" ht="15.75" customHeight="1">
      <c r="H543" s="118"/>
    </row>
    <row r="544" ht="15.75" customHeight="1">
      <c r="H544" s="118"/>
    </row>
    <row r="545" ht="15.75" customHeight="1">
      <c r="H545" s="118"/>
    </row>
    <row r="546" ht="15.75" customHeight="1">
      <c r="H546" s="118"/>
    </row>
    <row r="547" ht="15.75" customHeight="1">
      <c r="H547" s="118"/>
    </row>
    <row r="548" ht="15.75" customHeight="1">
      <c r="H548" s="118"/>
    </row>
    <row r="549" ht="15.75" customHeight="1">
      <c r="H549" s="118"/>
    </row>
    <row r="550" ht="15.75" customHeight="1">
      <c r="H550" s="118"/>
    </row>
    <row r="551" ht="15.75" customHeight="1">
      <c r="H551" s="118"/>
    </row>
    <row r="552" ht="15.75" customHeight="1">
      <c r="H552" s="118"/>
    </row>
    <row r="553" ht="15.75" customHeight="1">
      <c r="H553" s="118"/>
    </row>
    <row r="554" ht="15.75" customHeight="1">
      <c r="H554" s="118"/>
    </row>
    <row r="555" ht="15.75" customHeight="1">
      <c r="H555" s="118"/>
    </row>
    <row r="556" ht="15.75" customHeight="1">
      <c r="H556" s="118"/>
    </row>
    <row r="557" ht="15.75" customHeight="1">
      <c r="H557" s="118"/>
    </row>
    <row r="558" ht="15.75" customHeight="1">
      <c r="H558" s="118"/>
    </row>
    <row r="559" ht="15.75" customHeight="1">
      <c r="H559" s="118"/>
    </row>
    <row r="560" ht="15.75" customHeight="1">
      <c r="H560" s="118"/>
    </row>
    <row r="561" ht="15.75" customHeight="1">
      <c r="H561" s="118"/>
    </row>
    <row r="562" ht="15.75" customHeight="1">
      <c r="H562" s="118"/>
    </row>
    <row r="563" ht="15.75" customHeight="1">
      <c r="H563" s="118"/>
    </row>
    <row r="564" ht="15.75" customHeight="1">
      <c r="H564" s="118"/>
    </row>
    <row r="565" ht="15.75" customHeight="1">
      <c r="H565" s="118"/>
    </row>
    <row r="566" ht="15.75" customHeight="1">
      <c r="H566" s="118"/>
    </row>
    <row r="567" ht="15.75" customHeight="1">
      <c r="H567" s="118"/>
    </row>
    <row r="568" ht="15.75" customHeight="1">
      <c r="H568" s="118"/>
    </row>
    <row r="569" ht="15.75" customHeight="1">
      <c r="H569" s="118"/>
    </row>
    <row r="570" ht="15.75" customHeight="1">
      <c r="H570" s="118"/>
    </row>
    <row r="571" ht="15.75" customHeight="1">
      <c r="H571" s="118"/>
    </row>
    <row r="572" ht="15.75" customHeight="1">
      <c r="H572" s="118"/>
    </row>
    <row r="573" ht="15.75" customHeight="1">
      <c r="H573" s="118"/>
    </row>
    <row r="574" ht="15.75" customHeight="1">
      <c r="H574" s="118"/>
    </row>
    <row r="575" ht="15.75" customHeight="1">
      <c r="H575" s="118"/>
    </row>
    <row r="576" ht="15.75" customHeight="1">
      <c r="H576" s="118"/>
    </row>
    <row r="577" ht="15.75" customHeight="1">
      <c r="H577" s="118"/>
    </row>
    <row r="578" ht="15.75" customHeight="1">
      <c r="H578" s="118"/>
    </row>
    <row r="579" ht="15.75" customHeight="1">
      <c r="H579" s="118"/>
    </row>
    <row r="580" ht="15.75" customHeight="1">
      <c r="H580" s="118"/>
    </row>
    <row r="581" ht="15.75" customHeight="1">
      <c r="H581" s="118"/>
    </row>
    <row r="582" ht="15.75" customHeight="1">
      <c r="H582" s="118"/>
    </row>
    <row r="583" ht="15.75" customHeight="1">
      <c r="H583" s="118"/>
    </row>
    <row r="584" ht="15.75" customHeight="1">
      <c r="H584" s="118"/>
    </row>
    <row r="585" ht="15.75" customHeight="1">
      <c r="H585" s="118"/>
    </row>
    <row r="586" ht="15.75" customHeight="1">
      <c r="H586" s="118"/>
    </row>
    <row r="587" ht="15.75" customHeight="1">
      <c r="H587" s="118"/>
    </row>
    <row r="588" ht="15.75" customHeight="1">
      <c r="H588" s="118"/>
    </row>
    <row r="589" ht="15.75" customHeight="1">
      <c r="H589" s="118"/>
    </row>
    <row r="590" ht="15.75" customHeight="1">
      <c r="H590" s="118"/>
    </row>
    <row r="591" ht="15.75" customHeight="1">
      <c r="H591" s="118"/>
    </row>
    <row r="592" ht="15.75" customHeight="1">
      <c r="H592" s="118"/>
    </row>
    <row r="593" ht="15.75" customHeight="1">
      <c r="H593" s="118"/>
    </row>
    <row r="594" ht="15.75" customHeight="1">
      <c r="H594" s="118"/>
    </row>
    <row r="595" ht="15.75" customHeight="1">
      <c r="H595" s="118"/>
    </row>
    <row r="596" ht="15.75" customHeight="1">
      <c r="H596" s="118"/>
    </row>
    <row r="597" ht="15.75" customHeight="1">
      <c r="H597" s="118"/>
    </row>
    <row r="598" ht="15.75" customHeight="1">
      <c r="H598" s="118"/>
    </row>
    <row r="599" ht="15.75" customHeight="1">
      <c r="H599" s="118"/>
    </row>
    <row r="600" ht="15.75" customHeight="1">
      <c r="H600" s="118"/>
    </row>
    <row r="601" ht="15.75" customHeight="1">
      <c r="H601" s="118"/>
    </row>
    <row r="602" ht="15.75" customHeight="1">
      <c r="H602" s="118"/>
    </row>
    <row r="603" ht="15.75" customHeight="1">
      <c r="H603" s="118"/>
    </row>
    <row r="604" ht="15.75" customHeight="1">
      <c r="H604" s="118"/>
    </row>
    <row r="605" ht="15.75" customHeight="1">
      <c r="H605" s="118"/>
    </row>
    <row r="606" ht="15.75" customHeight="1">
      <c r="H606" s="118"/>
    </row>
    <row r="607" ht="15.75" customHeight="1">
      <c r="H607" s="118"/>
    </row>
    <row r="608" ht="15.75" customHeight="1">
      <c r="H608" s="118"/>
    </row>
    <row r="609" ht="15.75" customHeight="1">
      <c r="H609" s="118"/>
    </row>
    <row r="610" ht="15.75" customHeight="1">
      <c r="H610" s="118"/>
    </row>
    <row r="611" ht="15.75" customHeight="1">
      <c r="H611" s="118"/>
    </row>
    <row r="612" ht="15.75" customHeight="1">
      <c r="H612" s="118"/>
    </row>
    <row r="613" ht="15.75" customHeight="1">
      <c r="H613" s="118"/>
    </row>
    <row r="614" ht="15.75" customHeight="1">
      <c r="H614" s="118"/>
    </row>
    <row r="615" ht="15.75" customHeight="1">
      <c r="H615" s="118"/>
    </row>
    <row r="616" ht="15.75" customHeight="1">
      <c r="H616" s="118"/>
    </row>
    <row r="617" ht="15.75" customHeight="1">
      <c r="H617" s="118"/>
    </row>
    <row r="618" ht="15.75" customHeight="1">
      <c r="H618" s="118"/>
    </row>
    <row r="619" ht="15.75" customHeight="1">
      <c r="H619" s="118"/>
    </row>
    <row r="620" ht="15.75" customHeight="1">
      <c r="H620" s="118"/>
    </row>
    <row r="621" ht="15.75" customHeight="1">
      <c r="H621" s="118"/>
    </row>
    <row r="622" ht="15.75" customHeight="1">
      <c r="H622" s="118"/>
    </row>
    <row r="623" ht="15.75" customHeight="1">
      <c r="H623" s="118"/>
    </row>
    <row r="624" ht="15.75" customHeight="1">
      <c r="H624" s="118"/>
    </row>
    <row r="625" ht="15.75" customHeight="1">
      <c r="H625" s="118"/>
    </row>
    <row r="626" ht="15.75" customHeight="1">
      <c r="H626" s="118"/>
    </row>
    <row r="627" ht="15.75" customHeight="1">
      <c r="H627" s="118"/>
    </row>
    <row r="628" ht="15.75" customHeight="1">
      <c r="H628" s="118"/>
    </row>
    <row r="629" ht="15.75" customHeight="1">
      <c r="H629" s="118"/>
    </row>
    <row r="630" ht="15.75" customHeight="1">
      <c r="H630" s="118"/>
    </row>
    <row r="631" ht="15.75" customHeight="1">
      <c r="H631" s="118"/>
    </row>
    <row r="632" ht="15.75" customHeight="1">
      <c r="H632" s="118"/>
    </row>
    <row r="633" ht="15.75" customHeight="1">
      <c r="H633" s="118"/>
    </row>
    <row r="634" ht="15.75" customHeight="1">
      <c r="H634" s="118"/>
    </row>
    <row r="635" ht="15.75" customHeight="1">
      <c r="H635" s="118"/>
    </row>
    <row r="636" ht="15.75" customHeight="1">
      <c r="H636" s="118"/>
    </row>
    <row r="637" ht="15.75" customHeight="1">
      <c r="H637" s="118"/>
    </row>
    <row r="638" ht="15.75" customHeight="1">
      <c r="H638" s="118"/>
    </row>
    <row r="639" ht="15.75" customHeight="1">
      <c r="H639" s="118"/>
    </row>
    <row r="640" ht="15.75" customHeight="1">
      <c r="H640" s="118"/>
    </row>
    <row r="641" ht="15.75" customHeight="1">
      <c r="H641" s="118"/>
    </row>
    <row r="642" ht="15.75" customHeight="1">
      <c r="H642" s="118"/>
    </row>
    <row r="643" ht="15.75" customHeight="1">
      <c r="H643" s="118"/>
    </row>
    <row r="644" ht="15.75" customHeight="1">
      <c r="H644" s="118"/>
    </row>
    <row r="645" ht="15.75" customHeight="1">
      <c r="H645" s="118"/>
    </row>
    <row r="646" ht="15.75" customHeight="1">
      <c r="H646" s="118"/>
    </row>
    <row r="647" ht="15.75" customHeight="1">
      <c r="H647" s="118"/>
    </row>
    <row r="648" ht="15.75" customHeight="1">
      <c r="H648" s="118"/>
    </row>
    <row r="649" ht="15.75" customHeight="1">
      <c r="H649" s="118"/>
    </row>
    <row r="650" ht="15.75" customHeight="1">
      <c r="H650" s="118"/>
    </row>
    <row r="651" ht="15.75" customHeight="1">
      <c r="H651" s="118"/>
    </row>
    <row r="652" ht="15.75" customHeight="1">
      <c r="H652" s="118"/>
    </row>
    <row r="653" ht="15.75" customHeight="1">
      <c r="H653" s="118"/>
    </row>
    <row r="654" ht="15.75" customHeight="1">
      <c r="H654" s="118"/>
    </row>
    <row r="655" ht="15.75" customHeight="1">
      <c r="H655" s="118"/>
    </row>
    <row r="656" ht="15.75" customHeight="1">
      <c r="H656" s="118"/>
    </row>
    <row r="657" ht="15.75" customHeight="1">
      <c r="H657" s="118"/>
    </row>
    <row r="658" ht="15.75" customHeight="1">
      <c r="H658" s="118"/>
    </row>
    <row r="659" ht="15.75" customHeight="1">
      <c r="H659" s="118"/>
    </row>
    <row r="660" ht="15.75" customHeight="1">
      <c r="H660" s="118"/>
    </row>
    <row r="661" ht="15.75" customHeight="1">
      <c r="H661" s="118"/>
    </row>
    <row r="662" ht="15.75" customHeight="1">
      <c r="H662" s="118"/>
    </row>
    <row r="663" ht="15.75" customHeight="1">
      <c r="H663" s="118"/>
    </row>
    <row r="664" ht="15.75" customHeight="1">
      <c r="H664" s="118"/>
    </row>
    <row r="665" ht="15.75" customHeight="1">
      <c r="H665" s="118"/>
    </row>
    <row r="666" ht="15.75" customHeight="1">
      <c r="H666" s="118"/>
    </row>
    <row r="667" ht="15.75" customHeight="1">
      <c r="H667" s="118"/>
    </row>
    <row r="668" ht="15.75" customHeight="1">
      <c r="H668" s="118"/>
    </row>
    <row r="669" ht="15.75" customHeight="1">
      <c r="H669" s="118"/>
    </row>
    <row r="670" ht="15.75" customHeight="1">
      <c r="H670" s="118"/>
    </row>
    <row r="671" ht="15.75" customHeight="1">
      <c r="H671" s="118"/>
    </row>
    <row r="672" ht="15.75" customHeight="1">
      <c r="H672" s="118"/>
    </row>
    <row r="673" ht="15.75" customHeight="1">
      <c r="H673" s="118"/>
    </row>
    <row r="674" ht="15.75" customHeight="1">
      <c r="H674" s="118"/>
    </row>
    <row r="675" ht="15.75" customHeight="1">
      <c r="H675" s="118"/>
    </row>
    <row r="676" ht="15.75" customHeight="1">
      <c r="H676" s="118"/>
    </row>
    <row r="677" ht="15.75" customHeight="1">
      <c r="H677" s="118"/>
    </row>
    <row r="678" ht="15.75" customHeight="1">
      <c r="H678" s="118"/>
    </row>
    <row r="679" ht="15.75" customHeight="1">
      <c r="H679" s="118"/>
    </row>
    <row r="680" ht="15.75" customHeight="1">
      <c r="H680" s="118"/>
    </row>
    <row r="681" ht="15.75" customHeight="1">
      <c r="H681" s="118"/>
    </row>
    <row r="682" ht="15.75" customHeight="1">
      <c r="H682" s="118"/>
    </row>
    <row r="683" ht="15.75" customHeight="1">
      <c r="H683" s="118"/>
    </row>
    <row r="684" ht="15.75" customHeight="1">
      <c r="H684" s="118"/>
    </row>
    <row r="685" ht="15.75" customHeight="1">
      <c r="H685" s="118"/>
    </row>
    <row r="686" ht="15.75" customHeight="1">
      <c r="H686" s="118"/>
    </row>
    <row r="687" ht="15.75" customHeight="1">
      <c r="H687" s="118"/>
    </row>
    <row r="688" ht="15.75" customHeight="1">
      <c r="H688" s="118"/>
    </row>
    <row r="689" ht="15.75" customHeight="1">
      <c r="H689" s="118"/>
    </row>
    <row r="690" ht="15.75" customHeight="1">
      <c r="H690" s="118"/>
    </row>
    <row r="691" ht="15.75" customHeight="1">
      <c r="H691" s="118"/>
    </row>
    <row r="692" ht="15.75" customHeight="1">
      <c r="H692" s="118"/>
    </row>
    <row r="693" ht="15.75" customHeight="1">
      <c r="H693" s="118"/>
    </row>
    <row r="694" ht="15.75" customHeight="1">
      <c r="H694" s="118"/>
    </row>
    <row r="695" ht="15.75" customHeight="1">
      <c r="H695" s="118"/>
    </row>
    <row r="696" ht="15.75" customHeight="1">
      <c r="H696" s="118"/>
    </row>
    <row r="697" ht="15.75" customHeight="1">
      <c r="H697" s="118"/>
    </row>
    <row r="698" ht="15.75" customHeight="1">
      <c r="H698" s="118"/>
    </row>
    <row r="699" ht="15.75" customHeight="1">
      <c r="H699" s="118"/>
    </row>
    <row r="700" ht="15.75" customHeight="1">
      <c r="H700" s="118"/>
    </row>
    <row r="701" ht="15.75" customHeight="1">
      <c r="H701" s="118"/>
    </row>
    <row r="702" ht="15.75" customHeight="1">
      <c r="H702" s="118"/>
    </row>
    <row r="703" ht="15.75" customHeight="1">
      <c r="H703" s="118"/>
    </row>
    <row r="704" ht="15.75" customHeight="1">
      <c r="H704" s="118"/>
    </row>
    <row r="705" ht="15.75" customHeight="1">
      <c r="H705" s="118"/>
    </row>
    <row r="706" ht="15.75" customHeight="1">
      <c r="H706" s="118"/>
    </row>
    <row r="707" ht="15.75" customHeight="1">
      <c r="H707" s="118"/>
    </row>
    <row r="708" ht="15.75" customHeight="1">
      <c r="H708" s="118"/>
    </row>
    <row r="709" ht="15.75" customHeight="1">
      <c r="H709" s="118"/>
    </row>
    <row r="710" ht="15.75" customHeight="1">
      <c r="H710" s="118"/>
    </row>
    <row r="711" ht="15.75" customHeight="1">
      <c r="H711" s="118"/>
    </row>
    <row r="712" ht="15.75" customHeight="1">
      <c r="H712" s="118"/>
    </row>
    <row r="713" ht="15.75" customHeight="1">
      <c r="H713" s="118"/>
    </row>
    <row r="714" ht="15.75" customHeight="1">
      <c r="H714" s="118"/>
    </row>
    <row r="715" ht="15.75" customHeight="1">
      <c r="H715" s="118"/>
    </row>
    <row r="716" ht="15.75" customHeight="1">
      <c r="H716" s="118"/>
    </row>
    <row r="717" ht="15.75" customHeight="1">
      <c r="H717" s="118"/>
    </row>
    <row r="718" ht="15.75" customHeight="1">
      <c r="H718" s="118"/>
    </row>
    <row r="719" ht="15.75" customHeight="1">
      <c r="H719" s="118"/>
    </row>
    <row r="720" ht="15.75" customHeight="1">
      <c r="H720" s="118"/>
    </row>
    <row r="721" ht="15.75" customHeight="1">
      <c r="H721" s="118"/>
    </row>
    <row r="722" ht="15.75" customHeight="1">
      <c r="H722" s="118"/>
    </row>
    <row r="723" ht="15.75" customHeight="1">
      <c r="H723" s="118"/>
    </row>
    <row r="724" ht="15.75" customHeight="1">
      <c r="H724" s="118"/>
    </row>
    <row r="725" ht="15.75" customHeight="1">
      <c r="H725" s="118"/>
    </row>
    <row r="726" ht="15.75" customHeight="1">
      <c r="H726" s="118"/>
    </row>
    <row r="727" ht="15.75" customHeight="1">
      <c r="H727" s="118"/>
    </row>
    <row r="728" ht="15.75" customHeight="1">
      <c r="H728" s="118"/>
    </row>
    <row r="729" ht="15.75" customHeight="1">
      <c r="H729" s="118"/>
    </row>
    <row r="730" ht="15.75" customHeight="1">
      <c r="H730" s="118"/>
    </row>
    <row r="731" ht="15.75" customHeight="1">
      <c r="H731" s="118"/>
    </row>
    <row r="732" ht="15.75" customHeight="1">
      <c r="H732" s="118"/>
    </row>
    <row r="733" ht="15.75" customHeight="1">
      <c r="H733" s="118"/>
    </row>
    <row r="734" ht="15.75" customHeight="1">
      <c r="H734" s="118"/>
    </row>
    <row r="735" ht="15.75" customHeight="1">
      <c r="H735" s="118"/>
    </row>
    <row r="736" ht="15.75" customHeight="1">
      <c r="H736" s="118"/>
    </row>
    <row r="737" ht="15.75" customHeight="1">
      <c r="H737" s="118"/>
    </row>
    <row r="738" ht="15.75" customHeight="1">
      <c r="H738" s="118"/>
    </row>
    <row r="739" ht="15.75" customHeight="1">
      <c r="H739" s="118"/>
    </row>
    <row r="740" ht="15.75" customHeight="1">
      <c r="H740" s="118"/>
    </row>
    <row r="741" ht="15.75" customHeight="1">
      <c r="H741" s="118"/>
    </row>
    <row r="742" ht="15.75" customHeight="1">
      <c r="H742" s="118"/>
    </row>
    <row r="743" ht="15.75" customHeight="1">
      <c r="H743" s="118"/>
    </row>
    <row r="744" ht="15.75" customHeight="1">
      <c r="H744" s="118"/>
    </row>
    <row r="745" ht="15.75" customHeight="1">
      <c r="H745" s="118"/>
    </row>
    <row r="746" ht="15.75" customHeight="1">
      <c r="H746" s="118"/>
    </row>
    <row r="747" ht="15.75" customHeight="1">
      <c r="H747" s="118"/>
    </row>
    <row r="748" ht="15.75" customHeight="1">
      <c r="H748" s="118"/>
    </row>
    <row r="749" ht="15.75" customHeight="1">
      <c r="H749" s="118"/>
    </row>
    <row r="750" ht="15.75" customHeight="1">
      <c r="H750" s="118"/>
    </row>
    <row r="751" ht="15.75" customHeight="1">
      <c r="H751" s="118"/>
    </row>
    <row r="752" ht="15.75" customHeight="1">
      <c r="H752" s="118"/>
    </row>
    <row r="753" ht="15.75" customHeight="1">
      <c r="H753" s="118"/>
    </row>
    <row r="754" ht="15.75" customHeight="1">
      <c r="H754" s="118"/>
    </row>
    <row r="755" ht="15.75" customHeight="1">
      <c r="H755" s="118"/>
    </row>
    <row r="756" ht="15.75" customHeight="1">
      <c r="H756" s="118"/>
    </row>
    <row r="757" ht="15.75" customHeight="1">
      <c r="H757" s="118"/>
    </row>
    <row r="758" ht="15.75" customHeight="1">
      <c r="H758" s="118"/>
    </row>
    <row r="759" ht="15.75" customHeight="1">
      <c r="H759" s="118"/>
    </row>
    <row r="760" ht="15.75" customHeight="1">
      <c r="H760" s="118"/>
    </row>
    <row r="761" ht="15.75" customHeight="1">
      <c r="H761" s="118"/>
    </row>
    <row r="762" ht="15.75" customHeight="1">
      <c r="H762" s="118"/>
    </row>
    <row r="763" ht="15.75" customHeight="1">
      <c r="H763" s="118"/>
    </row>
    <row r="764" ht="15.75" customHeight="1">
      <c r="H764" s="118"/>
    </row>
    <row r="765" ht="15.75" customHeight="1">
      <c r="H765" s="118"/>
    </row>
    <row r="766" ht="15.75" customHeight="1">
      <c r="H766" s="118"/>
    </row>
    <row r="767" ht="15.75" customHeight="1">
      <c r="H767" s="118"/>
    </row>
    <row r="768" ht="15.75" customHeight="1">
      <c r="H768" s="118"/>
    </row>
    <row r="769" ht="15.75" customHeight="1">
      <c r="H769" s="118"/>
    </row>
    <row r="770" ht="15.75" customHeight="1">
      <c r="H770" s="118"/>
    </row>
    <row r="771" ht="15.75" customHeight="1">
      <c r="H771" s="118"/>
    </row>
    <row r="772" ht="15.75" customHeight="1">
      <c r="H772" s="118"/>
    </row>
    <row r="773" ht="15.75" customHeight="1">
      <c r="H773" s="118"/>
    </row>
    <row r="774" ht="15.75" customHeight="1">
      <c r="H774" s="118"/>
    </row>
    <row r="775" ht="15.75" customHeight="1">
      <c r="H775" s="118"/>
    </row>
    <row r="776" ht="15.75" customHeight="1">
      <c r="H776" s="118"/>
    </row>
    <row r="777" ht="15.75" customHeight="1">
      <c r="H777" s="118"/>
    </row>
    <row r="778" ht="15.75" customHeight="1">
      <c r="H778" s="118"/>
    </row>
    <row r="779" ht="15.75" customHeight="1">
      <c r="H779" s="118"/>
    </row>
    <row r="780" ht="15.75" customHeight="1">
      <c r="H780" s="118"/>
    </row>
    <row r="781" ht="15.75" customHeight="1">
      <c r="H781" s="118"/>
    </row>
    <row r="782" ht="15.75" customHeight="1">
      <c r="H782" s="118"/>
    </row>
    <row r="783" ht="15.75" customHeight="1">
      <c r="H783" s="118"/>
    </row>
    <row r="784" ht="15.75" customHeight="1">
      <c r="H784" s="118"/>
    </row>
    <row r="785" ht="15.75" customHeight="1">
      <c r="H785" s="118"/>
    </row>
    <row r="786" ht="15.75" customHeight="1">
      <c r="H786" s="118"/>
    </row>
    <row r="787" ht="15.75" customHeight="1">
      <c r="H787" s="118"/>
    </row>
    <row r="788" ht="15.75" customHeight="1">
      <c r="H788" s="118"/>
    </row>
    <row r="789" ht="15.75" customHeight="1">
      <c r="H789" s="118"/>
    </row>
    <row r="790" ht="15.75" customHeight="1">
      <c r="H790" s="118"/>
    </row>
    <row r="791" ht="15.75" customHeight="1">
      <c r="H791" s="118"/>
    </row>
    <row r="792" ht="15.75" customHeight="1">
      <c r="H792" s="118"/>
    </row>
    <row r="793" ht="15.75" customHeight="1">
      <c r="H793" s="118"/>
    </row>
    <row r="794" ht="15.75" customHeight="1">
      <c r="H794" s="118"/>
    </row>
    <row r="795" ht="15.75" customHeight="1">
      <c r="H795" s="118"/>
    </row>
    <row r="796" ht="15.75" customHeight="1">
      <c r="H796" s="118"/>
    </row>
    <row r="797" ht="15.75" customHeight="1">
      <c r="H797" s="118"/>
    </row>
    <row r="798" ht="15.75" customHeight="1">
      <c r="H798" s="118"/>
    </row>
    <row r="799" ht="15.75" customHeight="1">
      <c r="H799" s="118"/>
    </row>
    <row r="800" ht="15.75" customHeight="1">
      <c r="H800" s="118"/>
    </row>
    <row r="801" ht="15.75" customHeight="1">
      <c r="H801" s="118"/>
    </row>
    <row r="802" ht="15.75" customHeight="1">
      <c r="H802" s="118"/>
    </row>
    <row r="803" ht="15.75" customHeight="1">
      <c r="H803" s="118"/>
    </row>
    <row r="804" ht="15.75" customHeight="1">
      <c r="H804" s="118"/>
    </row>
    <row r="805" ht="15.75" customHeight="1">
      <c r="H805" s="118"/>
    </row>
    <row r="806" ht="15.75" customHeight="1">
      <c r="H806" s="118"/>
    </row>
    <row r="807" ht="15.75" customHeight="1">
      <c r="H807" s="118"/>
    </row>
    <row r="808" ht="15.75" customHeight="1">
      <c r="H808" s="118"/>
    </row>
    <row r="809" ht="15.75" customHeight="1">
      <c r="H809" s="118"/>
    </row>
    <row r="810" ht="15.75" customHeight="1">
      <c r="H810" s="118"/>
    </row>
    <row r="811" ht="15.75" customHeight="1">
      <c r="H811" s="118"/>
    </row>
    <row r="812" ht="15.75" customHeight="1">
      <c r="H812" s="118"/>
    </row>
    <row r="813" ht="15.75" customHeight="1">
      <c r="H813" s="118"/>
    </row>
    <row r="814" ht="15.75" customHeight="1">
      <c r="H814" s="118"/>
    </row>
    <row r="815" ht="15.75" customHeight="1">
      <c r="H815" s="118"/>
    </row>
    <row r="816" ht="15.75" customHeight="1">
      <c r="H816" s="118"/>
    </row>
    <row r="817" ht="15.75" customHeight="1">
      <c r="H817" s="118"/>
    </row>
    <row r="818" ht="15.75" customHeight="1">
      <c r="H818" s="118"/>
    </row>
    <row r="819" ht="15.75" customHeight="1">
      <c r="H819" s="118"/>
    </row>
    <row r="820" ht="15.75" customHeight="1">
      <c r="H820" s="118"/>
    </row>
    <row r="821" ht="15.75" customHeight="1">
      <c r="H821" s="118"/>
    </row>
    <row r="822" ht="15.75" customHeight="1">
      <c r="H822" s="118"/>
    </row>
    <row r="823" ht="15.75" customHeight="1">
      <c r="H823" s="118"/>
    </row>
    <row r="824" ht="15.75" customHeight="1">
      <c r="H824" s="118"/>
    </row>
    <row r="825" ht="15.75" customHeight="1">
      <c r="H825" s="118"/>
    </row>
    <row r="826" ht="15.75" customHeight="1">
      <c r="H826" s="118"/>
    </row>
    <row r="827" ht="15.75" customHeight="1">
      <c r="H827" s="118"/>
    </row>
    <row r="828" ht="15.75" customHeight="1">
      <c r="H828" s="118"/>
    </row>
    <row r="829" ht="15.75" customHeight="1">
      <c r="H829" s="118"/>
    </row>
    <row r="830" ht="15.75" customHeight="1">
      <c r="H830" s="118"/>
    </row>
    <row r="831" ht="15.75" customHeight="1">
      <c r="H831" s="118"/>
    </row>
    <row r="832" ht="15.75" customHeight="1">
      <c r="H832" s="118"/>
    </row>
    <row r="833" ht="15.75" customHeight="1">
      <c r="H833" s="118"/>
    </row>
    <row r="834" ht="15.75" customHeight="1">
      <c r="H834" s="118"/>
    </row>
    <row r="835" ht="15.75" customHeight="1">
      <c r="H835" s="118"/>
    </row>
    <row r="836" ht="15.75" customHeight="1">
      <c r="H836" s="118"/>
    </row>
    <row r="837" ht="15.75" customHeight="1">
      <c r="H837" s="118"/>
    </row>
    <row r="838" ht="15.75" customHeight="1">
      <c r="H838" s="118"/>
    </row>
    <row r="839" ht="15.75" customHeight="1">
      <c r="H839" s="118"/>
    </row>
    <row r="840" ht="15.75" customHeight="1">
      <c r="H840" s="118"/>
    </row>
    <row r="841" ht="15.75" customHeight="1">
      <c r="H841" s="118"/>
    </row>
    <row r="842" ht="15.75" customHeight="1">
      <c r="H842" s="118"/>
    </row>
    <row r="843" ht="15.75" customHeight="1">
      <c r="H843" s="118"/>
    </row>
    <row r="844" ht="15.75" customHeight="1">
      <c r="H844" s="118"/>
    </row>
    <row r="845" ht="15.75" customHeight="1">
      <c r="H845" s="118"/>
    </row>
    <row r="846" ht="15.75" customHeight="1">
      <c r="H846" s="118"/>
    </row>
    <row r="847" ht="15.75" customHeight="1">
      <c r="H847" s="118"/>
    </row>
    <row r="848" ht="15.75" customHeight="1">
      <c r="H848" s="118"/>
    </row>
    <row r="849" ht="15.75" customHeight="1">
      <c r="H849" s="118"/>
    </row>
    <row r="850" ht="15.75" customHeight="1">
      <c r="H850" s="118"/>
    </row>
    <row r="851" ht="15.75" customHeight="1">
      <c r="H851" s="118"/>
    </row>
    <row r="852" ht="15.75" customHeight="1">
      <c r="H852" s="118"/>
    </row>
    <row r="853" ht="15.75" customHeight="1">
      <c r="H853" s="118"/>
    </row>
    <row r="854" ht="15.75" customHeight="1">
      <c r="H854" s="118"/>
    </row>
    <row r="855" ht="15.75" customHeight="1">
      <c r="H855" s="118"/>
    </row>
    <row r="856" ht="15.75" customHeight="1">
      <c r="H856" s="118"/>
    </row>
    <row r="857" ht="15.75" customHeight="1">
      <c r="H857" s="118"/>
    </row>
    <row r="858" ht="15.75" customHeight="1">
      <c r="H858" s="118"/>
    </row>
    <row r="859" ht="15.75" customHeight="1">
      <c r="H859" s="118"/>
    </row>
    <row r="860" ht="15.75" customHeight="1">
      <c r="H860" s="118"/>
    </row>
    <row r="861" ht="15.75" customHeight="1">
      <c r="H861" s="118"/>
    </row>
    <row r="862" ht="15.75" customHeight="1">
      <c r="H862" s="118"/>
    </row>
    <row r="863" ht="15.75" customHeight="1">
      <c r="H863" s="118"/>
    </row>
    <row r="864" ht="15.75" customHeight="1">
      <c r="H864" s="118"/>
    </row>
    <row r="865" ht="15.75" customHeight="1">
      <c r="H865" s="118"/>
    </row>
    <row r="866" ht="15.75" customHeight="1">
      <c r="H866" s="118"/>
    </row>
    <row r="867" ht="15.75" customHeight="1">
      <c r="H867" s="118"/>
    </row>
    <row r="868" ht="15.75" customHeight="1">
      <c r="H868" s="118"/>
    </row>
    <row r="869" ht="15.75" customHeight="1">
      <c r="H869" s="118"/>
    </row>
    <row r="870" ht="15.75" customHeight="1">
      <c r="H870" s="118"/>
    </row>
    <row r="871" ht="15.75" customHeight="1">
      <c r="H871" s="118"/>
    </row>
    <row r="872" ht="15.75" customHeight="1">
      <c r="H872" s="118"/>
    </row>
    <row r="873" ht="15.75" customHeight="1">
      <c r="H873" s="118"/>
    </row>
    <row r="874" ht="15.75" customHeight="1">
      <c r="H874" s="118"/>
    </row>
    <row r="875" ht="15.75" customHeight="1">
      <c r="H875" s="118"/>
    </row>
    <row r="876" ht="15.75" customHeight="1">
      <c r="H876" s="118"/>
    </row>
    <row r="877" ht="15.75" customHeight="1">
      <c r="H877" s="118"/>
    </row>
    <row r="878" ht="15.75" customHeight="1">
      <c r="H878" s="118"/>
    </row>
    <row r="879" ht="15.75" customHeight="1">
      <c r="H879" s="118"/>
    </row>
    <row r="880" ht="15.75" customHeight="1">
      <c r="H880" s="118"/>
    </row>
    <row r="881" ht="15.75" customHeight="1">
      <c r="H881" s="118"/>
    </row>
    <row r="882" ht="15.75" customHeight="1">
      <c r="H882" s="118"/>
    </row>
    <row r="883" ht="15.75" customHeight="1">
      <c r="H883" s="118"/>
    </row>
    <row r="884" ht="15.75" customHeight="1">
      <c r="H884" s="118"/>
    </row>
    <row r="885" ht="15.75" customHeight="1">
      <c r="H885" s="118"/>
    </row>
    <row r="886" ht="15.75" customHeight="1">
      <c r="H886" s="118"/>
    </row>
    <row r="887" ht="15.75" customHeight="1">
      <c r="H887" s="118"/>
    </row>
    <row r="888" ht="15.75" customHeight="1">
      <c r="H888" s="118"/>
    </row>
    <row r="889" ht="15.75" customHeight="1">
      <c r="H889" s="118"/>
    </row>
    <row r="890" ht="15.75" customHeight="1">
      <c r="H890" s="118"/>
    </row>
    <row r="891" ht="15.75" customHeight="1">
      <c r="H891" s="118"/>
    </row>
    <row r="892" ht="15.75" customHeight="1">
      <c r="H892" s="118"/>
    </row>
    <row r="893" ht="15.75" customHeight="1">
      <c r="H893" s="118"/>
    </row>
    <row r="894" ht="15.75" customHeight="1">
      <c r="H894" s="118"/>
    </row>
    <row r="895" ht="15.75" customHeight="1">
      <c r="H895" s="118"/>
    </row>
    <row r="896" ht="15.75" customHeight="1">
      <c r="H896" s="118"/>
    </row>
    <row r="897" ht="15.75" customHeight="1">
      <c r="H897" s="118"/>
    </row>
    <row r="898" ht="15.75" customHeight="1">
      <c r="H898" s="118"/>
    </row>
    <row r="899" ht="15.75" customHeight="1">
      <c r="H899" s="118"/>
    </row>
    <row r="900" ht="15.75" customHeight="1">
      <c r="H900" s="118"/>
    </row>
    <row r="901" ht="15.75" customHeight="1">
      <c r="H901" s="118"/>
    </row>
    <row r="902" ht="15.75" customHeight="1">
      <c r="H902" s="118"/>
    </row>
    <row r="903" ht="15.75" customHeight="1">
      <c r="H903" s="118"/>
    </row>
    <row r="904" ht="15.75" customHeight="1">
      <c r="H904" s="118"/>
    </row>
    <row r="905" ht="15.75" customHeight="1">
      <c r="H905" s="118"/>
    </row>
    <row r="906" ht="15.75" customHeight="1">
      <c r="H906" s="118"/>
    </row>
    <row r="907" ht="15.75" customHeight="1">
      <c r="H907" s="118"/>
    </row>
    <row r="908" ht="15.75" customHeight="1">
      <c r="H908" s="118"/>
    </row>
    <row r="909" ht="15.75" customHeight="1">
      <c r="H909" s="118"/>
    </row>
    <row r="910" ht="15.75" customHeight="1">
      <c r="H910" s="118"/>
    </row>
    <row r="911" ht="15.75" customHeight="1">
      <c r="H911" s="118"/>
    </row>
    <row r="912" ht="15.75" customHeight="1">
      <c r="H912" s="118"/>
    </row>
    <row r="913" ht="15.75" customHeight="1">
      <c r="H913" s="118"/>
    </row>
    <row r="914" ht="15.75" customHeight="1">
      <c r="H914" s="118"/>
    </row>
    <row r="915" ht="15.75" customHeight="1">
      <c r="H915" s="118"/>
    </row>
    <row r="916" ht="15.75" customHeight="1">
      <c r="H916" s="118"/>
    </row>
    <row r="917" ht="15.75" customHeight="1">
      <c r="H917" s="118"/>
    </row>
    <row r="918" ht="15.75" customHeight="1">
      <c r="H918" s="118"/>
    </row>
    <row r="919" ht="15.75" customHeight="1">
      <c r="H919" s="118"/>
    </row>
    <row r="920" ht="15.75" customHeight="1">
      <c r="H920" s="118"/>
    </row>
    <row r="921" ht="15.75" customHeight="1">
      <c r="H921" s="118"/>
    </row>
    <row r="922" ht="15.75" customHeight="1">
      <c r="H922" s="118"/>
    </row>
    <row r="923" ht="15.75" customHeight="1">
      <c r="H923" s="118"/>
    </row>
    <row r="924" ht="15.75" customHeight="1">
      <c r="H924" s="118"/>
    </row>
    <row r="925" ht="15.75" customHeight="1">
      <c r="H925" s="118"/>
    </row>
    <row r="926" ht="15.75" customHeight="1">
      <c r="H926" s="118"/>
    </row>
    <row r="927" ht="15.75" customHeight="1">
      <c r="H927" s="118"/>
    </row>
    <row r="928" ht="15.75" customHeight="1">
      <c r="H928" s="118"/>
    </row>
    <row r="929" ht="15.75" customHeight="1">
      <c r="H929" s="118"/>
    </row>
    <row r="930" ht="15.75" customHeight="1">
      <c r="H930" s="118"/>
    </row>
    <row r="931" ht="15.75" customHeight="1">
      <c r="H931" s="118"/>
    </row>
    <row r="932" ht="15.75" customHeight="1">
      <c r="H932" s="118"/>
    </row>
    <row r="933" ht="15.75" customHeight="1">
      <c r="H933" s="118"/>
    </row>
    <row r="934" ht="15.75" customHeight="1">
      <c r="H934" s="118"/>
    </row>
    <row r="935" ht="15.75" customHeight="1">
      <c r="H935" s="118"/>
    </row>
    <row r="936" ht="15.75" customHeight="1">
      <c r="H936" s="118"/>
    </row>
    <row r="937" ht="15.75" customHeight="1">
      <c r="H937" s="118"/>
    </row>
    <row r="938" ht="15.75" customHeight="1">
      <c r="H938" s="118"/>
    </row>
    <row r="939" ht="15.75" customHeight="1">
      <c r="H939" s="118"/>
    </row>
    <row r="940" ht="15.75" customHeight="1">
      <c r="H940" s="118"/>
    </row>
    <row r="941" ht="15.75" customHeight="1">
      <c r="H941" s="118"/>
    </row>
    <row r="942" ht="15.75" customHeight="1">
      <c r="H942" s="118"/>
    </row>
    <row r="943" ht="15.75" customHeight="1">
      <c r="H943" s="118"/>
    </row>
    <row r="944" ht="15.75" customHeight="1">
      <c r="H944" s="118"/>
    </row>
    <row r="945" ht="15.75" customHeight="1">
      <c r="H945" s="118"/>
    </row>
    <row r="946" ht="15.75" customHeight="1">
      <c r="H946" s="118"/>
    </row>
    <row r="947" ht="15.75" customHeight="1">
      <c r="H947" s="118"/>
    </row>
    <row r="948" ht="15.75" customHeight="1">
      <c r="H948" s="118"/>
    </row>
    <row r="949" ht="15.75" customHeight="1">
      <c r="H949" s="118"/>
    </row>
    <row r="950" ht="15.75" customHeight="1">
      <c r="H950" s="118"/>
    </row>
    <row r="951" ht="15.75" customHeight="1">
      <c r="H951" s="118"/>
    </row>
    <row r="952" ht="15.75" customHeight="1">
      <c r="H952" s="118"/>
    </row>
    <row r="953" ht="15.75" customHeight="1">
      <c r="H953" s="118"/>
    </row>
    <row r="954" ht="15.75" customHeight="1">
      <c r="H954" s="118"/>
    </row>
    <row r="955" ht="15.75" customHeight="1">
      <c r="H955" s="118"/>
    </row>
    <row r="956" ht="15.75" customHeight="1">
      <c r="H956" s="118"/>
    </row>
    <row r="957" ht="15.75" customHeight="1">
      <c r="H957" s="118"/>
    </row>
    <row r="958" ht="15.75" customHeight="1">
      <c r="H958" s="118"/>
    </row>
    <row r="959" ht="15.75" customHeight="1">
      <c r="H959" s="118"/>
    </row>
    <row r="960" ht="15.75" customHeight="1">
      <c r="H960" s="118"/>
    </row>
    <row r="961" ht="15.75" customHeight="1">
      <c r="H961" s="118"/>
    </row>
    <row r="962" ht="15.75" customHeight="1">
      <c r="H962" s="118"/>
    </row>
    <row r="963" ht="15.75" customHeight="1">
      <c r="H963" s="118"/>
    </row>
    <row r="964" ht="15.75" customHeight="1">
      <c r="H964" s="118"/>
    </row>
    <row r="965" ht="15.75" customHeight="1">
      <c r="H965" s="118"/>
    </row>
    <row r="966" ht="15.75" customHeight="1">
      <c r="H966" s="118"/>
    </row>
    <row r="967" ht="15.75" customHeight="1">
      <c r="H967" s="118"/>
    </row>
    <row r="968" ht="15.75" customHeight="1">
      <c r="H968" s="118"/>
    </row>
    <row r="969" ht="15.75" customHeight="1">
      <c r="H969" s="118"/>
    </row>
    <row r="970" ht="15.75" customHeight="1">
      <c r="H970" s="118"/>
    </row>
    <row r="971" ht="15.75" customHeight="1">
      <c r="H971" s="118"/>
    </row>
    <row r="972" ht="15.75" customHeight="1">
      <c r="H972" s="118"/>
    </row>
    <row r="973" ht="15.75" customHeight="1">
      <c r="H973" s="118"/>
    </row>
    <row r="974" ht="15.75" customHeight="1">
      <c r="H974" s="118"/>
    </row>
    <row r="975" ht="15.75" customHeight="1">
      <c r="H975" s="118"/>
    </row>
    <row r="976" ht="15.75" customHeight="1">
      <c r="H976" s="118"/>
    </row>
    <row r="977" ht="15.75" customHeight="1">
      <c r="H977" s="118"/>
    </row>
    <row r="978" ht="15.75" customHeight="1">
      <c r="H978" s="118"/>
    </row>
    <row r="979" ht="15.75" customHeight="1">
      <c r="H979" s="118"/>
    </row>
    <row r="980" ht="15.75" customHeight="1">
      <c r="H980" s="118"/>
    </row>
    <row r="981" ht="15.75" customHeight="1">
      <c r="H981" s="118"/>
    </row>
    <row r="982" ht="15.75" customHeight="1">
      <c r="H982" s="118"/>
    </row>
    <row r="983" ht="15.75" customHeight="1">
      <c r="H983" s="118"/>
    </row>
    <row r="984" ht="15.75" customHeight="1">
      <c r="H984" s="118"/>
    </row>
    <row r="985" ht="15.75" customHeight="1">
      <c r="H985" s="118"/>
    </row>
    <row r="986" ht="15.75" customHeight="1">
      <c r="H986" s="118"/>
    </row>
    <row r="987" ht="15.75" customHeight="1">
      <c r="H987" s="118"/>
    </row>
    <row r="988" ht="15.75" customHeight="1">
      <c r="H988" s="118"/>
    </row>
    <row r="989" ht="15.75" customHeight="1">
      <c r="H989" s="118"/>
    </row>
    <row r="990" ht="15.75" customHeight="1">
      <c r="H990" s="118"/>
    </row>
    <row r="991" ht="15.75" customHeight="1">
      <c r="H991" s="118"/>
    </row>
    <row r="992" ht="15.75" customHeight="1">
      <c r="H992" s="118"/>
    </row>
    <row r="993" ht="15.75" customHeight="1">
      <c r="H993" s="118"/>
    </row>
    <row r="994" ht="15.75" customHeight="1">
      <c r="H994" s="118"/>
    </row>
    <row r="995" ht="15.75" customHeight="1">
      <c r="H995" s="118"/>
    </row>
    <row r="996" ht="15.75" customHeight="1">
      <c r="H996" s="118"/>
    </row>
    <row r="997" ht="15.75" customHeight="1">
      <c r="H997" s="118"/>
    </row>
    <row r="998" ht="15.75" customHeight="1">
      <c r="H998" s="118"/>
    </row>
    <row r="999" ht="15.75" customHeight="1">
      <c r="H999" s="118"/>
    </row>
    <row r="1000" ht="15.75" customHeight="1">
      <c r="H1000" s="118"/>
    </row>
    <row r="1001" ht="15.75" customHeight="1">
      <c r="H1001" s="118"/>
    </row>
    <row r="1002" ht="15.75" customHeight="1">
      <c r="H1002" s="118"/>
    </row>
    <row r="1003" ht="15.75" customHeight="1">
      <c r="H1003" s="118"/>
    </row>
    <row r="1004" ht="15.75" customHeight="1">
      <c r="H1004" s="118"/>
    </row>
  </sheetData>
  <mergeCells count="21">
    <mergeCell ref="I2:I3"/>
    <mergeCell ref="J2:J3"/>
    <mergeCell ref="M8:O8"/>
    <mergeCell ref="M9:O9"/>
    <mergeCell ref="M10:O10"/>
    <mergeCell ref="M11:O11"/>
    <mergeCell ref="M12:O12"/>
    <mergeCell ref="M13:O13"/>
    <mergeCell ref="B4:B8"/>
    <mergeCell ref="B9:B13"/>
    <mergeCell ref="B14:B18"/>
    <mergeCell ref="B19:B23"/>
    <mergeCell ref="B24:C24"/>
    <mergeCell ref="B25:C25"/>
    <mergeCell ref="B2:B3"/>
    <mergeCell ref="C2:C3"/>
    <mergeCell ref="D2:D3"/>
    <mergeCell ref="E2:E3"/>
    <mergeCell ref="F2:F3"/>
    <mergeCell ref="G2:G3"/>
    <mergeCell ref="H2:H3"/>
  </mergeCells>
  <conditionalFormatting sqref="I4:J23">
    <cfRule type="cellIs" dxfId="0" priority="1" operator="greaterThanOrEqual">
      <formula>0</formula>
    </cfRule>
  </conditionalFormatting>
  <conditionalFormatting sqref="I4:J23">
    <cfRule type="cellIs" dxfId="1" priority="2" operator="between">
      <formula>-0.01</formula>
      <formula>-0.25</formula>
    </cfRule>
  </conditionalFormatting>
  <conditionalFormatting sqref="I4:J23">
    <cfRule type="cellIs" dxfId="2" priority="3" operator="between">
      <formula>-0.26</formula>
      <formula>-0.5</formula>
    </cfRule>
  </conditionalFormatting>
  <conditionalFormatting sqref="I4:J23">
    <cfRule type="cellIs" dxfId="3" priority="4" operator="between">
      <formula>-0.51</formula>
      <formula>-0.75</formula>
    </cfRule>
  </conditionalFormatting>
  <conditionalFormatting sqref="I4:J23">
    <cfRule type="cellIs" dxfId="4" priority="5" operator="between">
      <formula>-0.76</formula>
      <formula>-1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26" width="6.38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5"/>
      <c r="S1" s="3"/>
    </row>
    <row r="2" ht="15.75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0"/>
    </row>
    <row r="4" ht="15.75" customHeight="1">
      <c r="A4" s="8"/>
      <c r="B4" s="11" t="s">
        <v>2</v>
      </c>
      <c r="C4" s="12" t="s">
        <v>3</v>
      </c>
      <c r="D4" s="7"/>
      <c r="E4" s="7"/>
      <c r="F4" s="10"/>
      <c r="G4" s="13" t="s">
        <v>4</v>
      </c>
      <c r="H4" s="7"/>
      <c r="I4" s="7"/>
      <c r="J4" s="7"/>
      <c r="K4" s="10"/>
      <c r="L4" s="14" t="s">
        <v>5</v>
      </c>
      <c r="M4" s="7"/>
      <c r="N4" s="7"/>
      <c r="O4" s="7"/>
      <c r="P4" s="10"/>
      <c r="Q4" s="15" t="s">
        <v>6</v>
      </c>
      <c r="R4" s="7"/>
      <c r="S4" s="7"/>
      <c r="T4" s="7"/>
      <c r="U4" s="10"/>
      <c r="V4" s="16" t="s">
        <v>7</v>
      </c>
      <c r="W4" s="7"/>
      <c r="X4" s="7"/>
      <c r="Y4" s="7"/>
      <c r="Z4" s="10"/>
    </row>
    <row r="5" ht="15.75" customHeight="1">
      <c r="A5" s="8"/>
      <c r="B5" s="17"/>
      <c r="C5" s="18" t="s">
        <v>8</v>
      </c>
      <c r="D5" s="18" t="s">
        <v>9</v>
      </c>
      <c r="E5" s="18" t="s">
        <v>10</v>
      </c>
      <c r="F5" s="18" t="s">
        <v>11</v>
      </c>
      <c r="G5" s="19" t="s">
        <v>12</v>
      </c>
      <c r="H5" s="19" t="s">
        <v>13</v>
      </c>
      <c r="I5" s="19" t="s">
        <v>14</v>
      </c>
      <c r="J5" s="20">
        <v>0.75</v>
      </c>
      <c r="K5" s="20">
        <v>1.0</v>
      </c>
      <c r="L5" s="21" t="s">
        <v>12</v>
      </c>
      <c r="M5" s="21" t="s">
        <v>13</v>
      </c>
      <c r="N5" s="21" t="s">
        <v>14</v>
      </c>
      <c r="O5" s="22">
        <v>0.75</v>
      </c>
      <c r="P5" s="22">
        <v>1.0</v>
      </c>
      <c r="Q5" s="23" t="s">
        <v>12</v>
      </c>
      <c r="R5" s="23" t="s">
        <v>13</v>
      </c>
      <c r="S5" s="23" t="s">
        <v>14</v>
      </c>
      <c r="T5" s="24">
        <v>0.75</v>
      </c>
      <c r="U5" s="24">
        <v>1.0</v>
      </c>
      <c r="V5" s="25" t="s">
        <v>12</v>
      </c>
      <c r="W5" s="25" t="s">
        <v>13</v>
      </c>
      <c r="X5" s="25" t="s">
        <v>14</v>
      </c>
      <c r="Y5" s="26">
        <v>0.75</v>
      </c>
      <c r="Z5" s="26">
        <v>1.0</v>
      </c>
    </row>
    <row r="6" ht="15.7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/>
      <c r="B7" s="30">
        <v>1.0</v>
      </c>
      <c r="C7" s="31">
        <v>3.686</v>
      </c>
      <c r="D7" s="31">
        <v>3.565</v>
      </c>
      <c r="E7" s="31">
        <v>1.957</v>
      </c>
      <c r="F7" s="31">
        <v>0.213</v>
      </c>
      <c r="G7" s="31">
        <v>3.127</v>
      </c>
      <c r="H7" s="31">
        <v>1.985</v>
      </c>
      <c r="I7" s="31">
        <v>1.365</v>
      </c>
      <c r="J7" s="31">
        <v>0.916</v>
      </c>
      <c r="K7" s="31">
        <v>0.244</v>
      </c>
      <c r="L7" s="31">
        <v>4.046</v>
      </c>
      <c r="M7" s="33">
        <v>2.019</v>
      </c>
      <c r="N7" s="31">
        <v>1.24</v>
      </c>
      <c r="O7" s="31">
        <v>0.972</v>
      </c>
      <c r="P7" s="31">
        <v>0.656</v>
      </c>
      <c r="Q7" s="31">
        <v>1.789</v>
      </c>
      <c r="R7" s="31">
        <v>2.094</v>
      </c>
      <c r="S7" s="31">
        <v>2.087</v>
      </c>
      <c r="T7" s="34">
        <v>1.478</v>
      </c>
      <c r="U7" s="34">
        <v>1.04</v>
      </c>
      <c r="V7" s="34">
        <v>0.359</v>
      </c>
      <c r="W7" s="34">
        <v>1.883</v>
      </c>
      <c r="X7" s="34">
        <v>1.445</v>
      </c>
      <c r="Y7" s="34">
        <v>1.145</v>
      </c>
      <c r="Z7" s="34">
        <v>0.969</v>
      </c>
    </row>
    <row r="8" ht="15.75" customHeight="1">
      <c r="A8" s="29"/>
      <c r="B8" s="17"/>
      <c r="C8" s="36">
        <v>2.473</v>
      </c>
      <c r="D8" s="36">
        <v>0.154</v>
      </c>
      <c r="E8" s="36">
        <v>4.434</v>
      </c>
      <c r="F8" s="36">
        <v>0.28</v>
      </c>
      <c r="G8" s="36">
        <v>4.842</v>
      </c>
      <c r="H8" s="36">
        <v>3.365</v>
      </c>
      <c r="I8" s="36">
        <v>1.689</v>
      </c>
      <c r="J8" s="36">
        <v>1.142</v>
      </c>
      <c r="K8" s="36">
        <v>0.198</v>
      </c>
      <c r="L8" s="36">
        <v>1.037</v>
      </c>
      <c r="M8" s="38">
        <v>1.602</v>
      </c>
      <c r="N8" s="36">
        <v>1.618</v>
      </c>
      <c r="O8" s="36">
        <v>1.304</v>
      </c>
      <c r="P8" s="36">
        <v>0.563</v>
      </c>
      <c r="Q8" s="36">
        <v>2.061</v>
      </c>
      <c r="R8" s="36">
        <v>1.355</v>
      </c>
      <c r="S8" s="36">
        <v>1.769</v>
      </c>
      <c r="T8" s="40">
        <v>1.041</v>
      </c>
      <c r="U8" s="40">
        <v>1.04</v>
      </c>
      <c r="V8" s="40">
        <v>0.302</v>
      </c>
      <c r="W8" s="40">
        <v>2.216</v>
      </c>
      <c r="X8" s="40">
        <v>1.611</v>
      </c>
      <c r="Y8" s="40">
        <v>1.264</v>
      </c>
      <c r="Z8" s="40">
        <v>0.794</v>
      </c>
    </row>
    <row r="9" ht="15.75" customHeight="1">
      <c r="A9" s="29"/>
      <c r="B9" s="17"/>
      <c r="C9" s="36">
        <v>2.341</v>
      </c>
      <c r="D9" s="36">
        <v>2.846</v>
      </c>
      <c r="E9" s="36">
        <v>0.173</v>
      </c>
      <c r="F9" s="36">
        <v>0.239</v>
      </c>
      <c r="G9" s="36">
        <v>4.013</v>
      </c>
      <c r="H9" s="36">
        <v>4.095</v>
      </c>
      <c r="I9" s="36">
        <v>1.06</v>
      </c>
      <c r="J9" s="36">
        <v>1.114</v>
      </c>
      <c r="K9" s="36">
        <v>0.536</v>
      </c>
      <c r="L9" s="36">
        <v>0.611</v>
      </c>
      <c r="M9" s="38">
        <v>2.324</v>
      </c>
      <c r="N9" s="36">
        <v>1.48</v>
      </c>
      <c r="O9" s="36">
        <v>0.923</v>
      </c>
      <c r="P9" s="36">
        <v>0.9978</v>
      </c>
      <c r="Q9" s="36">
        <v>1.005</v>
      </c>
      <c r="R9" s="36">
        <v>0.454</v>
      </c>
      <c r="S9" s="36">
        <v>2.013</v>
      </c>
      <c r="T9" s="40">
        <v>1.366</v>
      </c>
      <c r="U9" s="40">
        <v>0.857</v>
      </c>
      <c r="V9" s="40">
        <v>1.989</v>
      </c>
      <c r="W9" s="40">
        <v>1.805</v>
      </c>
      <c r="X9" s="40">
        <v>1.953</v>
      </c>
      <c r="Y9" s="40">
        <v>1.756</v>
      </c>
      <c r="Z9" s="40">
        <v>0.744</v>
      </c>
    </row>
    <row r="10" ht="15.75" customHeight="1">
      <c r="A10" s="29"/>
      <c r="B10" s="17"/>
      <c r="C10" s="41">
        <v>2.181</v>
      </c>
      <c r="D10" s="41">
        <v>3.687</v>
      </c>
      <c r="E10" s="41">
        <v>1.425</v>
      </c>
      <c r="F10" s="36">
        <v>0.252</v>
      </c>
      <c r="G10" s="36">
        <v>2.812</v>
      </c>
      <c r="H10" s="36">
        <v>2.303</v>
      </c>
      <c r="I10" s="36">
        <v>1.811</v>
      </c>
      <c r="J10" s="36">
        <v>0.842</v>
      </c>
      <c r="K10" s="36">
        <v>0.958</v>
      </c>
      <c r="L10" s="36">
        <v>3.726</v>
      </c>
      <c r="M10" s="38">
        <v>3.768</v>
      </c>
      <c r="N10" s="36">
        <v>0.239</v>
      </c>
      <c r="O10" s="36">
        <v>1.072</v>
      </c>
      <c r="P10" s="36">
        <v>0.804</v>
      </c>
      <c r="Q10" s="36">
        <v>2.501</v>
      </c>
      <c r="R10" s="36">
        <v>2.622</v>
      </c>
      <c r="S10" s="36">
        <v>1.208</v>
      </c>
      <c r="T10" s="40">
        <v>1.11</v>
      </c>
      <c r="U10" s="40">
        <v>0.362</v>
      </c>
      <c r="V10" s="40">
        <v>0.128</v>
      </c>
      <c r="W10" s="40">
        <v>2.581</v>
      </c>
      <c r="X10" s="40">
        <v>0.752</v>
      </c>
      <c r="Y10" s="40">
        <v>1.271</v>
      </c>
      <c r="Z10" s="40">
        <v>1.124</v>
      </c>
    </row>
    <row r="11" ht="15.75" customHeight="1">
      <c r="A11" s="29"/>
      <c r="B11" s="17"/>
      <c r="C11" s="41">
        <v>1.945</v>
      </c>
      <c r="D11" s="41">
        <v>4.463</v>
      </c>
      <c r="E11" s="41">
        <v>4.062</v>
      </c>
      <c r="F11" s="36">
        <v>0.186</v>
      </c>
      <c r="G11" s="36">
        <v>0.443</v>
      </c>
      <c r="H11" s="36">
        <v>1.798</v>
      </c>
      <c r="I11" s="36">
        <v>0.687</v>
      </c>
      <c r="J11" s="36">
        <v>1.021</v>
      </c>
      <c r="K11" s="36">
        <v>0.137</v>
      </c>
      <c r="L11" s="36">
        <v>0.133</v>
      </c>
      <c r="M11" s="38">
        <v>2.162</v>
      </c>
      <c r="N11" s="36">
        <v>1.12</v>
      </c>
      <c r="O11" s="36">
        <v>0.756</v>
      </c>
      <c r="P11" s="36">
        <v>0.83</v>
      </c>
      <c r="Q11" s="36">
        <v>2.261</v>
      </c>
      <c r="R11" s="36">
        <v>2.788</v>
      </c>
      <c r="S11" s="36">
        <v>2.11</v>
      </c>
      <c r="T11" s="40">
        <v>1.768</v>
      </c>
      <c r="U11" s="40">
        <v>1.01</v>
      </c>
      <c r="V11" s="40">
        <v>3.733</v>
      </c>
      <c r="W11" s="40">
        <v>1.785</v>
      </c>
      <c r="X11" s="40">
        <v>1.29</v>
      </c>
      <c r="Y11" s="40">
        <v>1.3</v>
      </c>
      <c r="Z11" s="40">
        <v>0.651</v>
      </c>
    </row>
    <row r="12" ht="15.75" customHeight="1">
      <c r="A12" s="29"/>
      <c r="B12" s="17"/>
      <c r="C12" s="41">
        <v>2.505</v>
      </c>
      <c r="D12" s="41">
        <v>2.036</v>
      </c>
      <c r="E12" s="41">
        <v>0.781</v>
      </c>
      <c r="F12" s="36">
        <v>0.225</v>
      </c>
      <c r="G12" s="36">
        <v>2.936</v>
      </c>
      <c r="H12" s="36">
        <v>1.245</v>
      </c>
      <c r="I12" s="36">
        <v>1.353</v>
      </c>
      <c r="J12" s="36">
        <v>0.124</v>
      </c>
      <c r="K12" s="36">
        <v>0.578</v>
      </c>
      <c r="L12" s="36">
        <v>5.264</v>
      </c>
      <c r="M12" s="38">
        <v>2.26</v>
      </c>
      <c r="N12" s="36">
        <v>1.441</v>
      </c>
      <c r="O12" s="36">
        <v>1.419</v>
      </c>
      <c r="P12" s="36">
        <v>0.68</v>
      </c>
      <c r="Q12" s="36">
        <v>3.345</v>
      </c>
      <c r="R12" s="36">
        <v>2.447</v>
      </c>
      <c r="S12" s="36">
        <v>2.205</v>
      </c>
      <c r="T12" s="40">
        <v>1.264</v>
      </c>
      <c r="U12" s="40">
        <v>0.783</v>
      </c>
      <c r="V12" s="40">
        <v>3.867</v>
      </c>
      <c r="W12" s="40">
        <v>1.868</v>
      </c>
      <c r="X12" s="40">
        <v>1.244</v>
      </c>
      <c r="Y12" s="40">
        <v>0.885</v>
      </c>
      <c r="Z12" s="40">
        <v>0.234</v>
      </c>
    </row>
    <row r="13" ht="15.75" customHeight="1">
      <c r="A13" s="29"/>
      <c r="B13" s="17"/>
      <c r="C13" s="41">
        <v>2.179</v>
      </c>
      <c r="D13" s="41">
        <v>0.227</v>
      </c>
      <c r="E13" s="41">
        <v>5.916</v>
      </c>
      <c r="F13" s="36">
        <v>0.256</v>
      </c>
      <c r="G13" s="36">
        <v>3.795</v>
      </c>
      <c r="H13" s="36">
        <v>1.076</v>
      </c>
      <c r="I13" s="36">
        <v>1.219</v>
      </c>
      <c r="J13" s="36">
        <v>0.666</v>
      </c>
      <c r="K13" s="36">
        <v>0.539</v>
      </c>
      <c r="L13" s="36">
        <v>4.342</v>
      </c>
      <c r="M13" s="38">
        <v>2.185</v>
      </c>
      <c r="N13" s="36">
        <v>1.17</v>
      </c>
      <c r="O13" s="36">
        <v>1.335</v>
      </c>
      <c r="P13" s="37"/>
      <c r="Q13" s="36">
        <v>2.09</v>
      </c>
      <c r="R13" s="36">
        <v>2.217</v>
      </c>
      <c r="S13" s="36">
        <v>2.099</v>
      </c>
      <c r="T13" s="40">
        <v>1.462</v>
      </c>
      <c r="U13" s="40">
        <v>0.99</v>
      </c>
      <c r="V13" s="40">
        <v>4.894</v>
      </c>
      <c r="W13" s="40">
        <v>3.342</v>
      </c>
      <c r="X13" s="40">
        <v>1.332</v>
      </c>
      <c r="Y13" s="40">
        <v>1.296</v>
      </c>
      <c r="Z13" s="40">
        <v>0.167</v>
      </c>
    </row>
    <row r="14" ht="15.75" customHeight="1">
      <c r="A14" s="29"/>
      <c r="B14" s="17"/>
      <c r="C14" s="41">
        <v>4.044</v>
      </c>
      <c r="D14" s="41">
        <v>2.935</v>
      </c>
      <c r="E14" s="41">
        <v>2.17</v>
      </c>
      <c r="F14" s="36">
        <v>0.195</v>
      </c>
      <c r="G14" s="36">
        <v>2.654</v>
      </c>
      <c r="H14" s="36">
        <v>1.461</v>
      </c>
      <c r="I14" s="36">
        <v>1.744</v>
      </c>
      <c r="J14" s="36">
        <v>1.548</v>
      </c>
      <c r="K14" s="36">
        <v>0.79</v>
      </c>
      <c r="L14" s="36">
        <v>7.092</v>
      </c>
      <c r="M14" s="38">
        <v>1.311</v>
      </c>
      <c r="N14" s="36">
        <v>1.141</v>
      </c>
      <c r="O14" s="36">
        <v>1.211</v>
      </c>
      <c r="P14" s="37"/>
      <c r="Q14" s="36">
        <v>5.028</v>
      </c>
      <c r="R14" s="36">
        <v>2.6</v>
      </c>
      <c r="S14" s="36">
        <v>2.506</v>
      </c>
      <c r="T14" s="40">
        <v>1.608</v>
      </c>
      <c r="U14" s="40">
        <v>0.668</v>
      </c>
      <c r="V14" s="40">
        <v>2.217</v>
      </c>
      <c r="W14" s="40">
        <v>2.267</v>
      </c>
      <c r="X14" s="40">
        <v>1.487</v>
      </c>
      <c r="Y14" s="40">
        <v>1.237</v>
      </c>
      <c r="Z14" s="40">
        <v>0.657</v>
      </c>
    </row>
    <row r="15" ht="15.75" customHeight="1">
      <c r="A15" s="29"/>
      <c r="B15" s="17"/>
      <c r="C15" s="41">
        <v>3.243</v>
      </c>
      <c r="D15" s="41">
        <v>1.923</v>
      </c>
      <c r="E15" s="41">
        <v>4.284</v>
      </c>
      <c r="F15" s="36">
        <v>0.29</v>
      </c>
      <c r="G15" s="36">
        <v>1.582</v>
      </c>
      <c r="H15" s="36">
        <v>2.245</v>
      </c>
      <c r="I15" s="36">
        <v>1.316</v>
      </c>
      <c r="J15" s="36">
        <v>1.402</v>
      </c>
      <c r="K15" s="36">
        <v>0.957</v>
      </c>
      <c r="L15" s="36">
        <v>5.514</v>
      </c>
      <c r="M15" s="38">
        <v>1.542</v>
      </c>
      <c r="N15" s="36">
        <v>1.813</v>
      </c>
      <c r="O15" s="36">
        <v>0.605</v>
      </c>
      <c r="P15" s="37"/>
      <c r="Q15" s="36">
        <v>1.581</v>
      </c>
      <c r="R15" s="36">
        <v>2.563</v>
      </c>
      <c r="S15" s="36">
        <v>1.331</v>
      </c>
      <c r="T15" s="40">
        <v>0.627</v>
      </c>
      <c r="U15" s="40">
        <v>0.532</v>
      </c>
      <c r="V15" s="40">
        <v>3.822</v>
      </c>
      <c r="W15" s="40">
        <v>2.252</v>
      </c>
      <c r="X15" s="40">
        <v>1.274</v>
      </c>
      <c r="Y15" s="40">
        <v>1.145</v>
      </c>
      <c r="Z15" s="40">
        <v>0.641</v>
      </c>
    </row>
    <row r="16" ht="15.75" customHeight="1">
      <c r="A16" s="29"/>
      <c r="B16" s="28"/>
      <c r="C16" s="42">
        <v>3.067</v>
      </c>
      <c r="D16" s="42">
        <v>2.844</v>
      </c>
      <c r="E16" s="42">
        <v>1.174</v>
      </c>
      <c r="F16" s="43">
        <v>0.215</v>
      </c>
      <c r="G16" s="43">
        <v>5.142</v>
      </c>
      <c r="H16" s="43">
        <v>2.226</v>
      </c>
      <c r="I16" s="43">
        <v>0.989</v>
      </c>
      <c r="J16" s="43">
        <v>0.456</v>
      </c>
      <c r="K16" s="43">
        <v>0.893</v>
      </c>
      <c r="L16" s="43">
        <v>0.11</v>
      </c>
      <c r="M16" s="45">
        <v>2.415</v>
      </c>
      <c r="N16" s="36">
        <v>2.263</v>
      </c>
      <c r="O16" s="36">
        <v>0.949</v>
      </c>
      <c r="P16" s="37"/>
      <c r="Q16" s="36">
        <v>2.256</v>
      </c>
      <c r="R16" s="36">
        <v>2.172</v>
      </c>
      <c r="S16" s="36">
        <v>1.517</v>
      </c>
      <c r="T16" s="40">
        <v>1.059</v>
      </c>
      <c r="U16" s="40">
        <v>0.908</v>
      </c>
      <c r="V16" s="40">
        <v>0.128</v>
      </c>
      <c r="W16" s="40">
        <v>0.187</v>
      </c>
      <c r="X16" s="40">
        <v>1.949</v>
      </c>
      <c r="Y16" s="40">
        <v>1.402</v>
      </c>
      <c r="Z16" s="40">
        <v>0.479</v>
      </c>
    </row>
    <row r="17" ht="15.75" customHeight="1">
      <c r="A17" s="29"/>
      <c r="B17" s="46">
        <v>2.0</v>
      </c>
      <c r="C17" s="47">
        <v>3.046</v>
      </c>
      <c r="D17" s="47">
        <v>2.562</v>
      </c>
      <c r="E17" s="47">
        <v>5.055</v>
      </c>
      <c r="F17" s="31">
        <v>0.273</v>
      </c>
      <c r="G17" s="31">
        <v>1.029</v>
      </c>
      <c r="H17" s="31">
        <v>2.056</v>
      </c>
      <c r="I17" s="32">
        <v>1.321</v>
      </c>
      <c r="J17" s="31">
        <v>1.114</v>
      </c>
      <c r="K17" s="32"/>
      <c r="L17" s="31">
        <v>0.159</v>
      </c>
      <c r="M17" s="33">
        <v>1.627</v>
      </c>
      <c r="N17" s="31">
        <v>2.037</v>
      </c>
      <c r="O17" s="31">
        <v>0.897</v>
      </c>
      <c r="P17" s="32"/>
      <c r="Q17" s="31">
        <v>4.221</v>
      </c>
      <c r="R17" s="31">
        <v>1.965</v>
      </c>
      <c r="S17" s="31">
        <v>1.623</v>
      </c>
      <c r="T17" s="34">
        <v>1.618</v>
      </c>
      <c r="U17" s="34">
        <v>0.696</v>
      </c>
      <c r="V17" s="34">
        <v>3.322</v>
      </c>
      <c r="W17" s="34">
        <v>4.328</v>
      </c>
      <c r="X17" s="34">
        <v>1.424</v>
      </c>
      <c r="Y17" s="34">
        <v>1.315</v>
      </c>
      <c r="Z17" s="34">
        <v>0.932</v>
      </c>
    </row>
    <row r="18" ht="15.75" customHeight="1">
      <c r="A18" s="29"/>
      <c r="B18" s="17"/>
      <c r="C18" s="41">
        <v>1.419</v>
      </c>
      <c r="D18" s="41">
        <v>0.793</v>
      </c>
      <c r="E18" s="41">
        <v>5.347</v>
      </c>
      <c r="F18" s="36">
        <v>0.202</v>
      </c>
      <c r="G18" s="36">
        <v>2.171</v>
      </c>
      <c r="H18" s="36">
        <v>1.895</v>
      </c>
      <c r="I18" s="37">
        <v>1.677</v>
      </c>
      <c r="J18" s="36">
        <v>1.119</v>
      </c>
      <c r="K18" s="37"/>
      <c r="L18" s="36">
        <v>2.784</v>
      </c>
      <c r="M18" s="38">
        <v>0.561</v>
      </c>
      <c r="N18" s="36">
        <v>1.382</v>
      </c>
      <c r="O18" s="36">
        <v>0.802</v>
      </c>
      <c r="P18" s="37"/>
      <c r="Q18" s="36">
        <v>4.8</v>
      </c>
      <c r="R18" s="36">
        <v>1.947</v>
      </c>
      <c r="S18" s="36">
        <v>1.932</v>
      </c>
      <c r="T18" s="40">
        <v>0.754</v>
      </c>
      <c r="U18" s="40">
        <v>0.882</v>
      </c>
      <c r="V18" s="40">
        <v>3.621</v>
      </c>
      <c r="W18" s="40">
        <v>2.621</v>
      </c>
      <c r="X18" s="40">
        <v>1.596</v>
      </c>
      <c r="Y18" s="40">
        <v>0.902</v>
      </c>
      <c r="Z18" s="40">
        <v>0.152</v>
      </c>
    </row>
    <row r="19" ht="15.75" customHeight="1">
      <c r="A19" s="48"/>
      <c r="B19" s="17"/>
      <c r="C19" s="41">
        <v>0.402</v>
      </c>
      <c r="D19" s="41">
        <v>2.759</v>
      </c>
      <c r="E19" s="41">
        <v>4.436</v>
      </c>
      <c r="F19" s="36">
        <v>0.267</v>
      </c>
      <c r="G19" s="36">
        <v>2.997</v>
      </c>
      <c r="H19" s="36">
        <v>1.646</v>
      </c>
      <c r="I19" s="37">
        <v>1.523</v>
      </c>
      <c r="J19" s="36">
        <v>1.1</v>
      </c>
      <c r="K19" s="37"/>
      <c r="L19" s="36">
        <v>5.33</v>
      </c>
      <c r="M19" s="38">
        <v>1.718</v>
      </c>
      <c r="N19" s="37">
        <v>1.528</v>
      </c>
      <c r="O19" s="36">
        <v>0.66</v>
      </c>
      <c r="P19" s="37"/>
      <c r="Q19" s="36">
        <v>3.362</v>
      </c>
      <c r="R19" s="36">
        <v>3.305</v>
      </c>
      <c r="S19" s="36"/>
      <c r="T19" s="40">
        <v>1.834</v>
      </c>
      <c r="U19" s="40">
        <v>0.776</v>
      </c>
      <c r="V19" s="40">
        <v>0.298</v>
      </c>
      <c r="W19" s="40">
        <v>4.091</v>
      </c>
      <c r="X19" s="40">
        <v>1.484</v>
      </c>
      <c r="Y19" s="40">
        <v>1.322</v>
      </c>
      <c r="Z19" s="40">
        <v>0.533</v>
      </c>
    </row>
    <row r="20" ht="15.75" customHeight="1">
      <c r="A20" s="48"/>
      <c r="B20" s="17"/>
      <c r="C20" s="41">
        <v>2.654</v>
      </c>
      <c r="D20" s="41">
        <v>2.564</v>
      </c>
      <c r="E20" s="41">
        <v>0.453</v>
      </c>
      <c r="F20" s="36">
        <v>0.26</v>
      </c>
      <c r="G20" s="36">
        <v>1.696</v>
      </c>
      <c r="H20" s="36">
        <v>1.124</v>
      </c>
      <c r="I20" s="37">
        <v>1.489</v>
      </c>
      <c r="J20" s="37"/>
      <c r="K20" s="37"/>
      <c r="L20" s="36">
        <v>0.232</v>
      </c>
      <c r="M20" s="38">
        <v>1.914</v>
      </c>
      <c r="N20" s="37">
        <v>1.298</v>
      </c>
      <c r="O20" s="36">
        <v>0.833</v>
      </c>
      <c r="P20" s="37"/>
      <c r="Q20" s="36">
        <v>2.311</v>
      </c>
      <c r="R20" s="36">
        <v>4.988</v>
      </c>
      <c r="S20" s="37"/>
      <c r="T20" s="40">
        <v>1.684</v>
      </c>
      <c r="U20" s="40">
        <v>0.584</v>
      </c>
      <c r="V20" s="40">
        <v>3.303</v>
      </c>
      <c r="W20" s="40">
        <v>3.339</v>
      </c>
      <c r="X20" s="39">
        <v>1.284</v>
      </c>
      <c r="Y20" s="40">
        <v>1.366</v>
      </c>
      <c r="Z20" s="39"/>
    </row>
    <row r="21" ht="15.75" customHeight="1">
      <c r="A21" s="48"/>
      <c r="B21" s="17"/>
      <c r="C21" s="41">
        <v>3.4</v>
      </c>
      <c r="D21" s="41">
        <v>2.64</v>
      </c>
      <c r="E21" s="41"/>
      <c r="F21" s="36">
        <v>0.107</v>
      </c>
      <c r="G21" s="36">
        <v>0.395</v>
      </c>
      <c r="H21" s="36">
        <v>1.558</v>
      </c>
      <c r="I21" s="37"/>
      <c r="J21" s="37"/>
      <c r="K21" s="37"/>
      <c r="L21" s="36">
        <v>3.127</v>
      </c>
      <c r="M21" s="38">
        <v>1.24</v>
      </c>
      <c r="N21" s="37">
        <v>2.056</v>
      </c>
      <c r="O21" s="36">
        <v>1.025</v>
      </c>
      <c r="P21" s="37"/>
      <c r="Q21" s="37"/>
      <c r="R21" s="36">
        <v>4.147</v>
      </c>
      <c r="S21" s="37"/>
      <c r="T21" s="39"/>
      <c r="U21" s="40">
        <v>0.649</v>
      </c>
      <c r="V21" s="40">
        <v>5.671</v>
      </c>
      <c r="W21" s="40">
        <v>1.49</v>
      </c>
      <c r="X21" s="39">
        <v>1.249</v>
      </c>
      <c r="Y21" s="40">
        <v>1.276</v>
      </c>
      <c r="Z21" s="39"/>
    </row>
    <row r="22" ht="15.75" customHeight="1">
      <c r="A22" s="48"/>
      <c r="B22" s="17"/>
      <c r="C22" s="41">
        <v>1.049</v>
      </c>
      <c r="D22" s="41">
        <v>2.5</v>
      </c>
      <c r="E22" s="41"/>
      <c r="F22" s="36">
        <v>0.29</v>
      </c>
      <c r="G22" s="36"/>
      <c r="H22" s="36">
        <v>0.97</v>
      </c>
      <c r="I22" s="37"/>
      <c r="J22" s="37"/>
      <c r="K22" s="37"/>
      <c r="L22" s="36">
        <v>1.016</v>
      </c>
      <c r="M22" s="49">
        <v>2.099</v>
      </c>
      <c r="N22" s="37"/>
      <c r="O22" s="37"/>
      <c r="P22" s="37"/>
      <c r="Q22" s="37"/>
      <c r="R22" s="36">
        <v>2.004</v>
      </c>
      <c r="S22" s="37"/>
      <c r="T22" s="39"/>
      <c r="U22" s="39"/>
      <c r="V22" s="40">
        <v>3.658</v>
      </c>
      <c r="W22" s="40">
        <v>2.975</v>
      </c>
      <c r="X22" s="39"/>
      <c r="Y22" s="40">
        <v>0.865</v>
      </c>
      <c r="Z22" s="39"/>
    </row>
    <row r="23" ht="15.75" customHeight="1">
      <c r="A23" s="48"/>
      <c r="B23" s="17"/>
      <c r="C23" s="41">
        <v>5.394</v>
      </c>
      <c r="D23" s="41"/>
      <c r="E23" s="41"/>
      <c r="F23" s="36">
        <v>0.331</v>
      </c>
      <c r="G23" s="37"/>
      <c r="H23" s="37"/>
      <c r="I23" s="37"/>
      <c r="J23" s="37"/>
      <c r="K23" s="37"/>
      <c r="L23" s="36">
        <v>3.026</v>
      </c>
      <c r="M23" s="49">
        <v>2.238</v>
      </c>
      <c r="N23" s="37"/>
      <c r="O23" s="37"/>
      <c r="P23" s="37"/>
      <c r="Q23" s="37"/>
      <c r="R23" s="36"/>
      <c r="S23" s="37"/>
      <c r="T23" s="39"/>
      <c r="U23" s="39"/>
      <c r="V23" s="40"/>
      <c r="W23" s="40">
        <v>2.746</v>
      </c>
      <c r="X23" s="39"/>
      <c r="Y23" s="40">
        <v>1.445</v>
      </c>
      <c r="Z23" s="39"/>
    </row>
    <row r="24" ht="15.75" customHeight="1">
      <c r="A24" s="48"/>
      <c r="B24" s="17"/>
      <c r="C24" s="41">
        <v>4.229</v>
      </c>
      <c r="D24" s="41"/>
      <c r="E24" s="41"/>
      <c r="F24" s="37"/>
      <c r="G24" s="37"/>
      <c r="H24" s="37"/>
      <c r="I24" s="37"/>
      <c r="J24" s="37"/>
      <c r="K24" s="37"/>
      <c r="L24" s="36">
        <v>5.499</v>
      </c>
      <c r="M24" s="49"/>
      <c r="N24" s="37"/>
      <c r="O24" s="37"/>
      <c r="P24" s="37"/>
      <c r="Q24" s="37"/>
      <c r="R24" s="37"/>
      <c r="S24" s="37"/>
      <c r="T24" s="39"/>
      <c r="U24" s="39"/>
      <c r="V24" s="40"/>
      <c r="W24" s="40"/>
      <c r="X24" s="39"/>
      <c r="Y24" s="40">
        <v>0.778</v>
      </c>
      <c r="Z24" s="39"/>
    </row>
    <row r="25" ht="15.75" customHeight="1">
      <c r="A25" s="48"/>
      <c r="B25" s="17"/>
      <c r="C25" s="41"/>
      <c r="D25" s="41"/>
      <c r="E25" s="41"/>
      <c r="F25" s="37"/>
      <c r="G25" s="37"/>
      <c r="H25" s="37"/>
      <c r="I25" s="37"/>
      <c r="J25" s="37"/>
      <c r="K25" s="37"/>
      <c r="L25" s="37"/>
      <c r="M25" s="49"/>
      <c r="N25" s="37"/>
      <c r="O25" s="37"/>
      <c r="P25" s="37"/>
      <c r="Q25" s="37"/>
      <c r="R25" s="37"/>
      <c r="S25" s="37"/>
      <c r="T25" s="39"/>
      <c r="U25" s="39"/>
      <c r="V25" s="39"/>
      <c r="W25" s="39"/>
      <c r="X25" s="39"/>
      <c r="Y25" s="40">
        <v>1.03</v>
      </c>
      <c r="Z25" s="39"/>
    </row>
    <row r="26" ht="15.75" customHeight="1">
      <c r="B26" s="28"/>
      <c r="C26" s="44"/>
      <c r="D26" s="43"/>
      <c r="E26" s="44"/>
      <c r="F26" s="44"/>
      <c r="G26" s="44"/>
      <c r="H26" s="44"/>
      <c r="I26" s="44"/>
      <c r="J26" s="44"/>
      <c r="K26" s="44"/>
      <c r="L26" s="44"/>
      <c r="M26" s="50"/>
      <c r="N26" s="44"/>
      <c r="O26" s="44"/>
      <c r="P26" s="44"/>
      <c r="Q26" s="44"/>
      <c r="R26" s="44"/>
      <c r="S26" s="44"/>
      <c r="T26" s="51"/>
      <c r="U26" s="51"/>
      <c r="V26" s="51"/>
      <c r="W26" s="51"/>
      <c r="X26" s="51"/>
      <c r="Y26" s="119">
        <v>0.139</v>
      </c>
      <c r="Z26" s="51"/>
    </row>
    <row r="27" ht="19.5" customHeight="1">
      <c r="B27" s="52" t="s">
        <v>15</v>
      </c>
      <c r="C27" s="53">
        <f t="shared" ref="C27:Z27" si="1">AVERAGE(C7:C26)</f>
        <v>2.7365</v>
      </c>
      <c r="D27" s="53">
        <f t="shared" si="1"/>
        <v>2.406125</v>
      </c>
      <c r="E27" s="53">
        <f t="shared" si="1"/>
        <v>2.976214286</v>
      </c>
      <c r="F27" s="53">
        <f t="shared" si="1"/>
        <v>0.2400588235</v>
      </c>
      <c r="G27" s="53">
        <f t="shared" si="1"/>
        <v>2.642266667</v>
      </c>
      <c r="H27" s="53">
        <f t="shared" si="1"/>
        <v>1.9405</v>
      </c>
      <c r="I27" s="53">
        <f t="shared" si="1"/>
        <v>1.3745</v>
      </c>
      <c r="J27" s="53">
        <f t="shared" si="1"/>
        <v>0.9664615385</v>
      </c>
      <c r="K27" s="53">
        <f t="shared" si="1"/>
        <v>0.583</v>
      </c>
      <c r="L27" s="53">
        <f t="shared" si="1"/>
        <v>2.947111111</v>
      </c>
      <c r="M27" s="53">
        <f t="shared" si="1"/>
        <v>1.940294118</v>
      </c>
      <c r="N27" s="53">
        <f t="shared" si="1"/>
        <v>1.455066667</v>
      </c>
      <c r="O27" s="53">
        <f t="shared" si="1"/>
        <v>0.9842</v>
      </c>
      <c r="P27" s="53">
        <f t="shared" si="1"/>
        <v>0.7551333333</v>
      </c>
      <c r="Q27" s="53">
        <f t="shared" si="1"/>
        <v>2.757928571</v>
      </c>
      <c r="R27" s="53">
        <f t="shared" si="1"/>
        <v>2.47925</v>
      </c>
      <c r="S27" s="53">
        <f t="shared" si="1"/>
        <v>1.866666667</v>
      </c>
      <c r="T27" s="53">
        <f t="shared" si="1"/>
        <v>1.333785714</v>
      </c>
      <c r="U27" s="53">
        <f t="shared" si="1"/>
        <v>0.7851333333</v>
      </c>
      <c r="V27" s="53">
        <f t="shared" si="1"/>
        <v>2.582</v>
      </c>
      <c r="W27" s="53">
        <f t="shared" si="1"/>
        <v>2.457411765</v>
      </c>
      <c r="X27" s="53">
        <f t="shared" si="1"/>
        <v>1.424933333</v>
      </c>
      <c r="Y27" s="53">
        <f t="shared" si="1"/>
        <v>1.15695</v>
      </c>
      <c r="Z27" s="53">
        <f t="shared" si="1"/>
        <v>0.6213076923</v>
      </c>
    </row>
    <row r="28" ht="15.75" customHeight="1">
      <c r="B28" s="52" t="s">
        <v>16</v>
      </c>
      <c r="C28" s="53">
        <f t="shared" ref="C28:Z28" si="2">STDEV(C7:C26)</f>
        <v>1.197257319</v>
      </c>
      <c r="D28" s="53">
        <f t="shared" si="2"/>
        <v>1.180671553</v>
      </c>
      <c r="E28" s="53">
        <f t="shared" si="2"/>
        <v>2.00223472</v>
      </c>
      <c r="F28" s="53">
        <f t="shared" si="2"/>
        <v>0.05193321503</v>
      </c>
      <c r="G28" s="53">
        <f t="shared" si="2"/>
        <v>1.451661977</v>
      </c>
      <c r="H28" s="53">
        <f t="shared" si="2"/>
        <v>0.8293364416</v>
      </c>
      <c r="I28" s="53">
        <f t="shared" si="2"/>
        <v>0.3166939192</v>
      </c>
      <c r="J28" s="53">
        <f t="shared" si="2"/>
        <v>0.3791362146</v>
      </c>
      <c r="K28" s="53">
        <f t="shared" si="2"/>
        <v>0.3137022651</v>
      </c>
      <c r="L28" s="53">
        <f t="shared" si="2"/>
        <v>2.289379106</v>
      </c>
      <c r="M28" s="53">
        <f t="shared" si="2"/>
        <v>0.6733571456</v>
      </c>
      <c r="N28" s="53">
        <f t="shared" si="2"/>
        <v>0.489940006</v>
      </c>
      <c r="O28" s="53">
        <f t="shared" si="2"/>
        <v>0.2456717322</v>
      </c>
      <c r="P28" s="53">
        <f t="shared" si="2"/>
        <v>0.1544459344</v>
      </c>
      <c r="Q28" s="53">
        <f t="shared" si="2"/>
        <v>1.217393841</v>
      </c>
      <c r="R28" s="53">
        <f t="shared" si="2"/>
        <v>1.04390916</v>
      </c>
      <c r="S28" s="53">
        <f t="shared" si="2"/>
        <v>0.3840684914</v>
      </c>
      <c r="T28" s="53">
        <f t="shared" si="2"/>
        <v>0.3728817463</v>
      </c>
      <c r="U28" s="53">
        <f t="shared" si="2"/>
        <v>0.2028285225</v>
      </c>
      <c r="V28" s="53">
        <f t="shared" si="2"/>
        <v>1.836509733</v>
      </c>
      <c r="W28" s="53">
        <f t="shared" si="2"/>
        <v>0.9969685338</v>
      </c>
      <c r="X28" s="53">
        <f t="shared" si="2"/>
        <v>0.2941264224</v>
      </c>
      <c r="Y28" s="53">
        <f t="shared" si="2"/>
        <v>0.3326979783</v>
      </c>
      <c r="Z28" s="53">
        <f t="shared" si="2"/>
        <v>0.3058105036</v>
      </c>
    </row>
    <row r="29" ht="15.75" customHeight="1">
      <c r="B29" s="52" t="s">
        <v>17</v>
      </c>
      <c r="C29" s="53">
        <f t="shared" ref="C29:Z29" si="3">(C$27/$C$27)*100</f>
        <v>100</v>
      </c>
      <c r="D29" s="53">
        <f t="shared" si="3"/>
        <v>87.92709666</v>
      </c>
      <c r="E29" s="53">
        <f t="shared" si="3"/>
        <v>108.7598862</v>
      </c>
      <c r="F29" s="53">
        <f t="shared" si="3"/>
        <v>8.77247665</v>
      </c>
      <c r="G29" s="53">
        <f t="shared" si="3"/>
        <v>96.55642853</v>
      </c>
      <c r="H29" s="53">
        <f t="shared" si="3"/>
        <v>70.91174858</v>
      </c>
      <c r="I29" s="53">
        <f t="shared" si="3"/>
        <v>50.22839393</v>
      </c>
      <c r="J29" s="53">
        <f t="shared" si="3"/>
        <v>35.31743243</v>
      </c>
      <c r="K29" s="53">
        <f t="shared" si="3"/>
        <v>21.30458615</v>
      </c>
      <c r="L29" s="53">
        <f t="shared" si="3"/>
        <v>107.696368</v>
      </c>
      <c r="M29" s="53">
        <f t="shared" si="3"/>
        <v>70.90422502</v>
      </c>
      <c r="N29" s="53">
        <f t="shared" si="3"/>
        <v>53.172544</v>
      </c>
      <c r="O29" s="53">
        <f t="shared" si="3"/>
        <v>35.96564955</v>
      </c>
      <c r="P29" s="53">
        <f t="shared" si="3"/>
        <v>27.59485961</v>
      </c>
      <c r="Q29" s="53">
        <f t="shared" si="3"/>
        <v>100.7830649</v>
      </c>
      <c r="R29" s="53">
        <f t="shared" si="3"/>
        <v>90.59930568</v>
      </c>
      <c r="S29" s="53">
        <f t="shared" si="3"/>
        <v>68.21365491</v>
      </c>
      <c r="T29" s="53">
        <f t="shared" si="3"/>
        <v>48.74057059</v>
      </c>
      <c r="U29" s="53">
        <f t="shared" si="3"/>
        <v>28.6911505</v>
      </c>
      <c r="V29" s="53">
        <f t="shared" si="3"/>
        <v>94.35410196</v>
      </c>
      <c r="W29" s="53">
        <f t="shared" si="3"/>
        <v>89.80127041</v>
      </c>
      <c r="X29" s="53">
        <f t="shared" si="3"/>
        <v>52.07138072</v>
      </c>
      <c r="Y29" s="53">
        <f t="shared" si="3"/>
        <v>42.27845788</v>
      </c>
      <c r="Z29" s="53">
        <f t="shared" si="3"/>
        <v>22.70446528</v>
      </c>
    </row>
    <row r="30" ht="15.75" customHeight="1">
      <c r="B30" s="52" t="s">
        <v>18</v>
      </c>
      <c r="C30" s="53">
        <f t="shared" ref="C30:Z30" si="4">(C27-$C$27)/($C$27)</f>
        <v>0</v>
      </c>
      <c r="D30" s="53">
        <f t="shared" si="4"/>
        <v>-0.1207290334</v>
      </c>
      <c r="E30" s="53">
        <f t="shared" si="4"/>
        <v>0.08759886195</v>
      </c>
      <c r="F30" s="53">
        <f t="shared" si="4"/>
        <v>-0.9122752335</v>
      </c>
      <c r="G30" s="53">
        <f t="shared" si="4"/>
        <v>-0.03443571472</v>
      </c>
      <c r="H30" s="53">
        <f t="shared" si="4"/>
        <v>-0.2908825142</v>
      </c>
      <c r="I30" s="53">
        <f t="shared" si="4"/>
        <v>-0.4977160607</v>
      </c>
      <c r="J30" s="53">
        <f t="shared" si="4"/>
        <v>-0.6468256757</v>
      </c>
      <c r="K30" s="53">
        <f t="shared" si="4"/>
        <v>-0.7869541385</v>
      </c>
      <c r="L30" s="53">
        <f t="shared" si="4"/>
        <v>0.07696368029</v>
      </c>
      <c r="M30" s="53">
        <f t="shared" si="4"/>
        <v>-0.2909577498</v>
      </c>
      <c r="N30" s="53">
        <f t="shared" si="4"/>
        <v>-0.46827456</v>
      </c>
      <c r="O30" s="53">
        <f t="shared" si="4"/>
        <v>-0.6403435045</v>
      </c>
      <c r="P30" s="53">
        <f t="shared" si="4"/>
        <v>-0.7240514039</v>
      </c>
      <c r="Q30" s="53">
        <f t="shared" si="4"/>
        <v>0.007830649161</v>
      </c>
      <c r="R30" s="53">
        <f t="shared" si="4"/>
        <v>-0.09400694318</v>
      </c>
      <c r="S30" s="53">
        <f t="shared" si="4"/>
        <v>-0.3178634509</v>
      </c>
      <c r="T30" s="53">
        <f t="shared" si="4"/>
        <v>-0.5125942941</v>
      </c>
      <c r="U30" s="53">
        <f t="shared" si="4"/>
        <v>-0.713088495</v>
      </c>
      <c r="V30" s="53">
        <f t="shared" si="4"/>
        <v>-0.05645898045</v>
      </c>
      <c r="W30" s="53">
        <f t="shared" si="4"/>
        <v>-0.1019872959</v>
      </c>
      <c r="X30" s="53">
        <f t="shared" si="4"/>
        <v>-0.4792861928</v>
      </c>
      <c r="Y30" s="53">
        <f t="shared" si="4"/>
        <v>-0.5772154212</v>
      </c>
      <c r="Z30" s="53">
        <f t="shared" si="4"/>
        <v>-0.7729553472</v>
      </c>
    </row>
    <row r="31" ht="15.75" customHeight="1"/>
    <row r="32" ht="15.75" customHeight="1">
      <c r="B32" s="54" t="s">
        <v>19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</row>
    <row r="33" ht="15.75" customHeight="1">
      <c r="B33" s="55" t="s">
        <v>20</v>
      </c>
      <c r="C33" s="56" t="s">
        <v>21</v>
      </c>
      <c r="D33" s="56" t="s">
        <v>22</v>
      </c>
      <c r="E33" s="57" t="s">
        <v>23</v>
      </c>
      <c r="F33" s="58"/>
      <c r="G33" s="57" t="s">
        <v>15</v>
      </c>
      <c r="H33" s="58"/>
      <c r="I33" s="59" t="s">
        <v>24</v>
      </c>
      <c r="J33" s="58"/>
      <c r="K33" s="59" t="s">
        <v>25</v>
      </c>
      <c r="L33" s="58"/>
      <c r="M33" s="59" t="s">
        <v>17</v>
      </c>
      <c r="N33" s="58"/>
      <c r="O33" s="59" t="s">
        <v>26</v>
      </c>
      <c r="P33" s="58"/>
      <c r="Q33" s="59" t="s">
        <v>27</v>
      </c>
      <c r="R33" s="60"/>
      <c r="S33" s="59" t="s">
        <v>18</v>
      </c>
      <c r="T33" s="60"/>
      <c r="U33" s="61"/>
      <c r="V33" s="61"/>
    </row>
    <row r="34" ht="15.75" customHeight="1">
      <c r="B34" s="28"/>
      <c r="C34" s="28"/>
      <c r="D34" s="28"/>
      <c r="E34" s="62"/>
      <c r="F34" s="63"/>
      <c r="G34" s="62"/>
      <c r="H34" s="63"/>
      <c r="I34" s="62"/>
      <c r="J34" s="63"/>
      <c r="K34" s="62"/>
      <c r="L34" s="63"/>
      <c r="M34" s="62"/>
      <c r="N34" s="63"/>
      <c r="O34" s="62"/>
      <c r="P34" s="63"/>
      <c r="Q34" s="62"/>
      <c r="R34" s="64"/>
      <c r="S34" s="62"/>
      <c r="T34" s="64"/>
      <c r="U34" s="61"/>
      <c r="V34" s="61"/>
    </row>
    <row r="35" ht="15.75" customHeight="1">
      <c r="B35" s="65" t="s">
        <v>3</v>
      </c>
      <c r="C35" s="66" t="s">
        <v>8</v>
      </c>
      <c r="D35" s="67">
        <v>1.0</v>
      </c>
      <c r="E35" s="68">
        <v>9.0</v>
      </c>
      <c r="F35" s="63"/>
      <c r="G35" s="69">
        <f>AVERAGE(E35:F36)</f>
        <v>9</v>
      </c>
      <c r="H35" s="70"/>
      <c r="I35" s="69">
        <f>(G35/10)*100</f>
        <v>90</v>
      </c>
      <c r="J35" s="70"/>
      <c r="K35" s="69">
        <f>(G35/$G$35)*100</f>
        <v>100</v>
      </c>
      <c r="L35" s="70"/>
      <c r="M35" s="69">
        <f>C29</f>
        <v>100</v>
      </c>
      <c r="N35" s="70"/>
      <c r="O35" s="69">
        <f>(K35*M35)/100</f>
        <v>100</v>
      </c>
      <c r="P35" s="70"/>
      <c r="Q35" s="69">
        <f>(G35-$G$35)/$G$35</f>
        <v>0</v>
      </c>
      <c r="R35" s="70"/>
      <c r="S35" s="69">
        <f t="array" ref="S35">INDEX($C$30:$Z$30, INT((ROW(A1)+1)/2))</f>
        <v>0</v>
      </c>
      <c r="T35" s="70"/>
    </row>
    <row r="36" ht="15.75" customHeight="1">
      <c r="B36" s="17"/>
      <c r="C36" s="28"/>
      <c r="D36" s="67">
        <v>2.0</v>
      </c>
      <c r="E36" s="68">
        <v>9.0</v>
      </c>
      <c r="F36" s="63"/>
      <c r="G36" s="64"/>
      <c r="H36" s="63"/>
      <c r="I36" s="64"/>
      <c r="J36" s="63"/>
      <c r="K36" s="64"/>
      <c r="L36" s="63"/>
      <c r="M36" s="64"/>
      <c r="N36" s="63"/>
      <c r="O36" s="64"/>
      <c r="P36" s="63"/>
      <c r="Q36" s="64"/>
      <c r="R36" s="63"/>
      <c r="S36" s="64"/>
      <c r="T36" s="63"/>
    </row>
    <row r="37" ht="15.75" customHeight="1">
      <c r="B37" s="17"/>
      <c r="C37" s="66" t="s">
        <v>9</v>
      </c>
      <c r="D37" s="67">
        <v>1.0</v>
      </c>
      <c r="E37" s="68">
        <v>8.0</v>
      </c>
      <c r="F37" s="63"/>
      <c r="G37" s="69">
        <f>AVERAGE(E37:F38)</f>
        <v>8</v>
      </c>
      <c r="H37" s="70"/>
      <c r="I37" s="69">
        <f>(G37/10)*100</f>
        <v>80</v>
      </c>
      <c r="J37" s="70"/>
      <c r="K37" s="69">
        <f>(G37/$G$35)*100</f>
        <v>88.88888889</v>
      </c>
      <c r="L37" s="70"/>
      <c r="M37" s="69">
        <f>D29</f>
        <v>87.92709666</v>
      </c>
      <c r="N37" s="70"/>
      <c r="O37" s="69">
        <f>(K37*M37)/100</f>
        <v>78.15741925</v>
      </c>
      <c r="P37" s="70"/>
      <c r="Q37" s="69">
        <f>(G37-$G$35)/$G$35</f>
        <v>-0.1111111111</v>
      </c>
      <c r="R37" s="70"/>
      <c r="S37" s="69">
        <f t="array" ref="S37">INDEX($C$30:$Z$30, INT((ROW(A3)+1)/2))</f>
        <v>-0.1207290334</v>
      </c>
      <c r="T37" s="70"/>
    </row>
    <row r="38" ht="15.75" customHeight="1">
      <c r="B38" s="17"/>
      <c r="C38" s="28"/>
      <c r="D38" s="67">
        <v>2.0</v>
      </c>
      <c r="E38" s="68">
        <v>8.0</v>
      </c>
      <c r="F38" s="63"/>
      <c r="G38" s="64"/>
      <c r="H38" s="63"/>
      <c r="I38" s="64"/>
      <c r="J38" s="63"/>
      <c r="K38" s="64"/>
      <c r="L38" s="63"/>
      <c r="M38" s="64"/>
      <c r="N38" s="63"/>
      <c r="O38" s="64"/>
      <c r="P38" s="63"/>
      <c r="Q38" s="64"/>
      <c r="R38" s="63"/>
      <c r="S38" s="64"/>
      <c r="T38" s="63"/>
    </row>
    <row r="39" ht="15.75" customHeight="1">
      <c r="B39" s="17"/>
      <c r="C39" s="66" t="s">
        <v>10</v>
      </c>
      <c r="D39" s="67">
        <v>1.0</v>
      </c>
      <c r="E39" s="68">
        <v>7.0</v>
      </c>
      <c r="F39" s="63"/>
      <c r="G39" s="69">
        <f>AVERAGE(E39:F40)</f>
        <v>7</v>
      </c>
      <c r="H39" s="70"/>
      <c r="I39" s="69">
        <f>(G39/10)*100</f>
        <v>70</v>
      </c>
      <c r="J39" s="70"/>
      <c r="K39" s="69">
        <f>(G39/$G$35)*100</f>
        <v>77.77777778</v>
      </c>
      <c r="L39" s="70"/>
      <c r="M39" s="69">
        <f>E29</f>
        <v>108.7598862</v>
      </c>
      <c r="N39" s="70"/>
      <c r="O39" s="69">
        <f>(K39*M39)/100</f>
        <v>84.5910226</v>
      </c>
      <c r="P39" s="70"/>
      <c r="Q39" s="69">
        <f>(G39-$G$35)/$G$35</f>
        <v>-0.2222222222</v>
      </c>
      <c r="R39" s="70"/>
      <c r="S39" s="69">
        <f t="array" ref="S39">INDEX($C$30:$Z$30, INT((ROW(A5)+1)/2))</f>
        <v>0.08759886195</v>
      </c>
      <c r="T39" s="70"/>
    </row>
    <row r="40" ht="15.75" customHeight="1">
      <c r="B40" s="17"/>
      <c r="C40" s="28"/>
      <c r="D40" s="67">
        <v>2.0</v>
      </c>
      <c r="E40" s="68">
        <v>7.0</v>
      </c>
      <c r="F40" s="63"/>
      <c r="G40" s="64"/>
      <c r="H40" s="63"/>
      <c r="I40" s="64"/>
      <c r="J40" s="63"/>
      <c r="K40" s="64"/>
      <c r="L40" s="63"/>
      <c r="M40" s="64"/>
      <c r="N40" s="63"/>
      <c r="O40" s="64"/>
      <c r="P40" s="63"/>
      <c r="Q40" s="64"/>
      <c r="R40" s="63"/>
      <c r="S40" s="64"/>
      <c r="T40" s="63"/>
    </row>
    <row r="41" ht="15.75" customHeight="1">
      <c r="B41" s="17"/>
      <c r="C41" s="66" t="s">
        <v>11</v>
      </c>
      <c r="D41" s="67">
        <v>1.0</v>
      </c>
      <c r="E41" s="68">
        <v>8.0</v>
      </c>
      <c r="F41" s="63"/>
      <c r="G41" s="69">
        <f>AVERAGE(E41:F42)</f>
        <v>8.5</v>
      </c>
      <c r="H41" s="70"/>
      <c r="I41" s="69">
        <f>(G41/10)*100</f>
        <v>85</v>
      </c>
      <c r="J41" s="70"/>
      <c r="K41" s="69">
        <f>(G41/$G$35)*100</f>
        <v>94.44444444</v>
      </c>
      <c r="L41" s="70"/>
      <c r="M41" s="69">
        <f>F29</f>
        <v>8.77247665</v>
      </c>
      <c r="N41" s="70"/>
      <c r="O41" s="69">
        <f>(K41*M41)/100</f>
        <v>8.285116836</v>
      </c>
      <c r="P41" s="70"/>
      <c r="Q41" s="69">
        <f>(G41-$G$35)/$G$35</f>
        <v>-0.05555555556</v>
      </c>
      <c r="R41" s="70"/>
      <c r="S41" s="69">
        <f t="array" ref="S41">INDEX($C$30:$Z$30, INT((ROW(A7)+1)/2))</f>
        <v>-0.9122752335</v>
      </c>
      <c r="T41" s="70"/>
    </row>
    <row r="42" ht="15.75" customHeight="1">
      <c r="B42" s="28"/>
      <c r="C42" s="28"/>
      <c r="D42" s="67">
        <v>2.0</v>
      </c>
      <c r="E42" s="68">
        <v>9.0</v>
      </c>
      <c r="F42" s="63"/>
      <c r="G42" s="64"/>
      <c r="H42" s="63"/>
      <c r="I42" s="64"/>
      <c r="J42" s="63"/>
      <c r="K42" s="64"/>
      <c r="L42" s="63"/>
      <c r="M42" s="64"/>
      <c r="N42" s="63"/>
      <c r="O42" s="64"/>
      <c r="P42" s="63"/>
      <c r="Q42" s="64"/>
      <c r="R42" s="63"/>
      <c r="S42" s="64"/>
      <c r="T42" s="63"/>
    </row>
    <row r="43" ht="15.75" customHeight="1">
      <c r="B43" s="72" t="s">
        <v>4</v>
      </c>
      <c r="C43" s="73">
        <v>0.0</v>
      </c>
      <c r="D43" s="74">
        <v>1.0</v>
      </c>
      <c r="E43" s="68">
        <v>7.0</v>
      </c>
      <c r="F43" s="63"/>
      <c r="G43" s="69">
        <f>AVERAGE(E43:F44)</f>
        <v>7.5</v>
      </c>
      <c r="H43" s="70"/>
      <c r="I43" s="69">
        <f>(G43/10)*100</f>
        <v>75</v>
      </c>
      <c r="J43" s="70"/>
      <c r="K43" s="69">
        <f>(G43/$G$35)*100</f>
        <v>83.33333333</v>
      </c>
      <c r="L43" s="70"/>
      <c r="M43" s="69">
        <f>G29</f>
        <v>96.55642853</v>
      </c>
      <c r="N43" s="70"/>
      <c r="O43" s="69">
        <f>(K43*M43)/100</f>
        <v>80.46369044</v>
      </c>
      <c r="P43" s="70"/>
      <c r="Q43" s="69">
        <f>(G43-$G$35)/$G$35</f>
        <v>-0.1666666667</v>
      </c>
      <c r="R43" s="70"/>
      <c r="S43" s="69">
        <f t="array" ref="S43">INDEX($C$30:$Z$30, INT((ROW(A9)+1)/2))</f>
        <v>-0.03443571472</v>
      </c>
      <c r="T43" s="70"/>
    </row>
    <row r="44" ht="15.75" customHeight="1">
      <c r="B44" s="17"/>
      <c r="C44" s="28"/>
      <c r="D44" s="74">
        <v>2.0</v>
      </c>
      <c r="E44" s="68">
        <v>8.0</v>
      </c>
      <c r="F44" s="63"/>
      <c r="G44" s="64"/>
      <c r="H44" s="63"/>
      <c r="I44" s="64"/>
      <c r="J44" s="63"/>
      <c r="K44" s="64"/>
      <c r="L44" s="63"/>
      <c r="M44" s="64"/>
      <c r="N44" s="63"/>
      <c r="O44" s="64"/>
      <c r="P44" s="63"/>
      <c r="Q44" s="64"/>
      <c r="R44" s="63"/>
      <c r="S44" s="64"/>
      <c r="T44" s="63"/>
    </row>
    <row r="45" ht="15.75" customHeight="1">
      <c r="B45" s="17"/>
      <c r="C45" s="73">
        <v>25.0</v>
      </c>
      <c r="D45" s="74">
        <v>1.0</v>
      </c>
      <c r="E45" s="68">
        <v>7.0</v>
      </c>
      <c r="F45" s="63"/>
      <c r="G45" s="69">
        <f>AVERAGE(E45:F46)</f>
        <v>8</v>
      </c>
      <c r="H45" s="70"/>
      <c r="I45" s="69">
        <f>(G45/10)*100</f>
        <v>80</v>
      </c>
      <c r="J45" s="70"/>
      <c r="K45" s="69">
        <f>(G45/$G$35)*100</f>
        <v>88.88888889</v>
      </c>
      <c r="L45" s="70"/>
      <c r="M45" s="69">
        <f>H29</f>
        <v>70.91174858</v>
      </c>
      <c r="N45" s="70"/>
      <c r="O45" s="69">
        <f>(K45*M45)/100</f>
        <v>63.03266541</v>
      </c>
      <c r="P45" s="70"/>
      <c r="Q45" s="69">
        <f>(G45-$G$35)/$G$35</f>
        <v>-0.1111111111</v>
      </c>
      <c r="R45" s="70"/>
      <c r="S45" s="69">
        <f t="array" ref="S45">INDEX($C$30:$Z$30, INT((ROW(A11)+1)/2))</f>
        <v>-0.2908825142</v>
      </c>
      <c r="T45" s="70"/>
    </row>
    <row r="46" ht="15.75" customHeight="1">
      <c r="B46" s="17"/>
      <c r="C46" s="28"/>
      <c r="D46" s="74">
        <v>2.0</v>
      </c>
      <c r="E46" s="68">
        <v>9.0</v>
      </c>
      <c r="F46" s="63"/>
      <c r="G46" s="64"/>
      <c r="H46" s="63"/>
      <c r="I46" s="64"/>
      <c r="J46" s="63"/>
      <c r="K46" s="64"/>
      <c r="L46" s="63"/>
      <c r="M46" s="64"/>
      <c r="N46" s="63"/>
      <c r="O46" s="64"/>
      <c r="P46" s="63"/>
      <c r="Q46" s="64"/>
      <c r="R46" s="63"/>
      <c r="S46" s="64"/>
      <c r="T46" s="63"/>
    </row>
    <row r="47" ht="15.75" customHeight="1">
      <c r="B47" s="17"/>
      <c r="C47" s="73">
        <v>50.0</v>
      </c>
      <c r="D47" s="74">
        <v>1.0</v>
      </c>
      <c r="E47" s="68">
        <v>5.0</v>
      </c>
      <c r="F47" s="63"/>
      <c r="G47" s="69">
        <f>AVERAGE(E47:F48)</f>
        <v>6.5</v>
      </c>
      <c r="H47" s="70"/>
      <c r="I47" s="69">
        <f>(G47/10)*100</f>
        <v>65</v>
      </c>
      <c r="J47" s="70"/>
      <c r="K47" s="69">
        <f>(G47/$G$35)*100</f>
        <v>72.22222222</v>
      </c>
      <c r="L47" s="70"/>
      <c r="M47" s="69">
        <f>I29</f>
        <v>50.22839393</v>
      </c>
      <c r="N47" s="70"/>
      <c r="O47" s="69">
        <f>(K47*M47)/100</f>
        <v>36.27606229</v>
      </c>
      <c r="P47" s="70"/>
      <c r="Q47" s="69">
        <f>(G47-$G$35)/$G$35</f>
        <v>-0.2777777778</v>
      </c>
      <c r="R47" s="70"/>
      <c r="S47" s="69">
        <f t="array" ref="S47">INDEX($C$30:$Z$30, INT((ROW(A13)+1)/2))</f>
        <v>-0.4977160607</v>
      </c>
      <c r="T47" s="70"/>
      <c r="U47" s="117" t="s">
        <v>53</v>
      </c>
    </row>
    <row r="48" ht="15.75" customHeight="1">
      <c r="B48" s="17"/>
      <c r="C48" s="28"/>
      <c r="D48" s="74">
        <v>2.0</v>
      </c>
      <c r="E48" s="68">
        <v>8.0</v>
      </c>
      <c r="F48" s="63"/>
      <c r="G48" s="64"/>
      <c r="H48" s="63"/>
      <c r="I48" s="64"/>
      <c r="J48" s="63"/>
      <c r="K48" s="64"/>
      <c r="L48" s="63"/>
      <c r="M48" s="64"/>
      <c r="N48" s="63"/>
      <c r="O48" s="64"/>
      <c r="P48" s="63"/>
      <c r="Q48" s="64"/>
      <c r="R48" s="63"/>
      <c r="S48" s="64"/>
      <c r="T48" s="63"/>
    </row>
    <row r="49" ht="15.75" customHeight="1">
      <c r="B49" s="17"/>
      <c r="C49" s="73">
        <v>75.0</v>
      </c>
      <c r="D49" s="74">
        <v>1.0</v>
      </c>
      <c r="E49" s="68">
        <v>7.0</v>
      </c>
      <c r="F49" s="63"/>
      <c r="G49" s="69">
        <f>AVERAGE(E49:F50)</f>
        <v>6.5</v>
      </c>
      <c r="H49" s="70"/>
      <c r="I49" s="69">
        <f>(G49/10)*100</f>
        <v>65</v>
      </c>
      <c r="J49" s="70"/>
      <c r="K49" s="69">
        <f>(G49/$G$35)*100</f>
        <v>72.22222222</v>
      </c>
      <c r="L49" s="70"/>
      <c r="M49" s="69">
        <f>J29</f>
        <v>35.31743243</v>
      </c>
      <c r="N49" s="70"/>
      <c r="O49" s="69">
        <f>(K49*M49)/100</f>
        <v>25.50703453</v>
      </c>
      <c r="P49" s="70"/>
      <c r="Q49" s="69">
        <f>(G49-$G$35)/$G$35</f>
        <v>-0.2777777778</v>
      </c>
      <c r="R49" s="70"/>
      <c r="S49" s="69">
        <f t="array" ref="S49">INDEX($C$30:$Z$30, INT((ROW(A15)+1)/2))</f>
        <v>-0.6468256757</v>
      </c>
      <c r="T49" s="70"/>
    </row>
    <row r="50" ht="15.75" customHeight="1">
      <c r="A50" s="75"/>
      <c r="B50" s="17"/>
      <c r="C50" s="28"/>
      <c r="D50" s="74">
        <v>2.0</v>
      </c>
      <c r="E50" s="68">
        <v>6.0</v>
      </c>
      <c r="F50" s="63"/>
      <c r="G50" s="64"/>
      <c r="H50" s="63"/>
      <c r="I50" s="64"/>
      <c r="J50" s="63"/>
      <c r="K50" s="64"/>
      <c r="L50" s="63"/>
      <c r="M50" s="64"/>
      <c r="N50" s="63"/>
      <c r="O50" s="64"/>
      <c r="P50" s="63"/>
      <c r="Q50" s="64"/>
      <c r="R50" s="63"/>
      <c r="S50" s="64"/>
      <c r="T50" s="63"/>
    </row>
    <row r="51" ht="15.75" customHeight="1">
      <c r="A51" s="75"/>
      <c r="B51" s="17"/>
      <c r="C51" s="73">
        <v>100.0</v>
      </c>
      <c r="D51" s="74">
        <v>1.0</v>
      </c>
      <c r="E51" s="77">
        <v>5.0</v>
      </c>
      <c r="F51" s="10"/>
      <c r="G51" s="69">
        <f>AVERAGE(E51:F52)</f>
        <v>5</v>
      </c>
      <c r="H51" s="70"/>
      <c r="I51" s="69">
        <f>(G51/10)*100</f>
        <v>50</v>
      </c>
      <c r="J51" s="70"/>
      <c r="K51" s="69">
        <f>(G51/$G$35)*100</f>
        <v>55.55555556</v>
      </c>
      <c r="L51" s="70"/>
      <c r="M51" s="69">
        <f>K29</f>
        <v>21.30458615</v>
      </c>
      <c r="N51" s="70"/>
      <c r="O51" s="69">
        <f>(K51*M51)/100</f>
        <v>11.83588119</v>
      </c>
      <c r="P51" s="70"/>
      <c r="Q51" s="69">
        <f>(G51-$G$35)/$G$35</f>
        <v>-0.4444444444</v>
      </c>
      <c r="R51" s="70"/>
      <c r="S51" s="69">
        <f t="array" ref="S51">INDEX($C$30:$Z$30, INT((ROW(A17)+1)/2))</f>
        <v>-0.7869541385</v>
      </c>
      <c r="T51" s="70"/>
    </row>
    <row r="52" ht="15.75" customHeight="1">
      <c r="A52" s="75"/>
      <c r="B52" s="28"/>
      <c r="C52" s="28"/>
      <c r="D52" s="74">
        <v>2.0</v>
      </c>
      <c r="E52" s="77">
        <v>5.0</v>
      </c>
      <c r="F52" s="10"/>
      <c r="G52" s="64"/>
      <c r="H52" s="63"/>
      <c r="I52" s="64"/>
      <c r="J52" s="63"/>
      <c r="K52" s="64"/>
      <c r="L52" s="63"/>
      <c r="M52" s="64"/>
      <c r="N52" s="63"/>
      <c r="O52" s="64"/>
      <c r="P52" s="63"/>
      <c r="Q52" s="64"/>
      <c r="R52" s="63"/>
      <c r="S52" s="64"/>
      <c r="T52" s="63"/>
    </row>
    <row r="53" ht="15.75" customHeight="1">
      <c r="A53" s="75"/>
      <c r="B53" s="78" t="s">
        <v>5</v>
      </c>
      <c r="C53" s="79">
        <v>0.0</v>
      </c>
      <c r="D53" s="80">
        <v>1.0</v>
      </c>
      <c r="E53" s="77">
        <v>8.0</v>
      </c>
      <c r="F53" s="10"/>
      <c r="G53" s="69">
        <f>AVERAGE(E53:F54)</f>
        <v>9</v>
      </c>
      <c r="H53" s="70"/>
      <c r="I53" s="69">
        <f>(G53/10)*100</f>
        <v>90</v>
      </c>
      <c r="J53" s="70"/>
      <c r="K53" s="69">
        <f>(G53/$G$35)*100</f>
        <v>100</v>
      </c>
      <c r="L53" s="70"/>
      <c r="M53" s="69">
        <f>L29</f>
        <v>107.696368</v>
      </c>
      <c r="N53" s="70"/>
      <c r="O53" s="69">
        <f>(K53*M53)/100</f>
        <v>107.696368</v>
      </c>
      <c r="P53" s="70"/>
      <c r="Q53" s="69">
        <f>(G53-$G$35)/$G$35</f>
        <v>0</v>
      </c>
      <c r="R53" s="70"/>
      <c r="S53" s="69">
        <f t="array" ref="S53">INDEX($C$30:$Z$30, INT((ROW(A19)+1)/2))</f>
        <v>0.07696368029</v>
      </c>
      <c r="T53" s="70"/>
    </row>
    <row r="54" ht="15.75" customHeight="1">
      <c r="A54" s="75"/>
      <c r="B54" s="17"/>
      <c r="C54" s="28"/>
      <c r="D54" s="80">
        <v>2.0</v>
      </c>
      <c r="E54" s="77">
        <v>10.0</v>
      </c>
      <c r="F54" s="10"/>
      <c r="G54" s="64"/>
      <c r="H54" s="63"/>
      <c r="I54" s="64"/>
      <c r="J54" s="63"/>
      <c r="K54" s="64"/>
      <c r="L54" s="63"/>
      <c r="M54" s="64"/>
      <c r="N54" s="63"/>
      <c r="O54" s="64"/>
      <c r="P54" s="63"/>
      <c r="Q54" s="64"/>
      <c r="R54" s="63"/>
      <c r="S54" s="64"/>
      <c r="T54" s="63"/>
    </row>
    <row r="55" ht="15.75" customHeight="1">
      <c r="A55" s="75"/>
      <c r="B55" s="17"/>
      <c r="C55" s="79">
        <v>25.0</v>
      </c>
      <c r="D55" s="80">
        <v>1.0</v>
      </c>
      <c r="E55" s="77">
        <v>8.0</v>
      </c>
      <c r="F55" s="10"/>
      <c r="G55" s="69">
        <f>AVERAGE(E55:F56)</f>
        <v>8.5</v>
      </c>
      <c r="H55" s="70"/>
      <c r="I55" s="69">
        <f>(G55/10)*100</f>
        <v>85</v>
      </c>
      <c r="J55" s="70"/>
      <c r="K55" s="69">
        <f>(G55/$G$35)*100</f>
        <v>94.44444444</v>
      </c>
      <c r="L55" s="70"/>
      <c r="M55" s="69">
        <f>M29</f>
        <v>70.90422502</v>
      </c>
      <c r="N55" s="70"/>
      <c r="O55" s="69">
        <f>(K55*M55)/100</f>
        <v>66.96510141</v>
      </c>
      <c r="P55" s="70"/>
      <c r="Q55" s="69">
        <f>(G55-$G$35)/$G$35</f>
        <v>-0.05555555556</v>
      </c>
      <c r="R55" s="70"/>
      <c r="S55" s="69">
        <f t="array" ref="S55">INDEX($C$30:$Z$30, INT((ROW(A21)+1)/2))</f>
        <v>-0.2909577498</v>
      </c>
      <c r="T55" s="70"/>
    </row>
    <row r="56" ht="15.75" customHeight="1">
      <c r="A56" s="75"/>
      <c r="B56" s="17"/>
      <c r="C56" s="28"/>
      <c r="D56" s="80">
        <v>2.0</v>
      </c>
      <c r="E56" s="77">
        <v>9.0</v>
      </c>
      <c r="F56" s="10"/>
      <c r="G56" s="64"/>
      <c r="H56" s="63"/>
      <c r="I56" s="64"/>
      <c r="J56" s="63"/>
      <c r="K56" s="64"/>
      <c r="L56" s="63"/>
      <c r="M56" s="64"/>
      <c r="N56" s="63"/>
      <c r="O56" s="64"/>
      <c r="P56" s="63"/>
      <c r="Q56" s="64"/>
      <c r="R56" s="63"/>
      <c r="S56" s="64"/>
      <c r="T56" s="63"/>
    </row>
    <row r="57" ht="15.75" customHeight="1">
      <c r="A57" s="75"/>
      <c r="B57" s="17"/>
      <c r="C57" s="79">
        <v>50.0</v>
      </c>
      <c r="D57" s="80">
        <v>1.0</v>
      </c>
      <c r="E57" s="77">
        <v>8.0</v>
      </c>
      <c r="F57" s="10"/>
      <c r="G57" s="69">
        <f>AVERAGE(E57:F58)</f>
        <v>7.5</v>
      </c>
      <c r="H57" s="70"/>
      <c r="I57" s="69">
        <f>(G57/10)*100</f>
        <v>75</v>
      </c>
      <c r="J57" s="70"/>
      <c r="K57" s="69">
        <f>(G57/$G$35)*100</f>
        <v>83.33333333</v>
      </c>
      <c r="L57" s="70"/>
      <c r="M57" s="69">
        <f>N29</f>
        <v>53.172544</v>
      </c>
      <c r="N57" s="70"/>
      <c r="O57" s="69">
        <f>(K57*M57)/100</f>
        <v>44.31045334</v>
      </c>
      <c r="P57" s="70"/>
      <c r="Q57" s="69">
        <f>(G57-$G$35)/$G$35</f>
        <v>-0.1666666667</v>
      </c>
      <c r="R57" s="70"/>
      <c r="S57" s="69">
        <f t="array" ref="S57">INDEX($C$30:$Z$30, INT((ROW(A23)+1)/2))</f>
        <v>-0.46827456</v>
      </c>
      <c r="T57" s="70"/>
    </row>
    <row r="58" ht="15.75" customHeight="1">
      <c r="A58" s="75"/>
      <c r="B58" s="17"/>
      <c r="C58" s="28"/>
      <c r="D58" s="80">
        <v>2.0</v>
      </c>
      <c r="E58" s="77">
        <v>7.0</v>
      </c>
      <c r="F58" s="10"/>
      <c r="G58" s="64"/>
      <c r="H58" s="63"/>
      <c r="I58" s="64"/>
      <c r="J58" s="63"/>
      <c r="K58" s="64"/>
      <c r="L58" s="63"/>
      <c r="M58" s="64"/>
      <c r="N58" s="63"/>
      <c r="O58" s="64"/>
      <c r="P58" s="63"/>
      <c r="Q58" s="64"/>
      <c r="R58" s="63"/>
      <c r="S58" s="64"/>
      <c r="T58" s="63"/>
    </row>
    <row r="59" ht="15.75" customHeight="1">
      <c r="A59" s="81"/>
      <c r="B59" s="17"/>
      <c r="C59" s="79">
        <v>75.0</v>
      </c>
      <c r="D59" s="80">
        <v>1.0</v>
      </c>
      <c r="E59" s="77">
        <v>7.0</v>
      </c>
      <c r="F59" s="10"/>
      <c r="G59" s="69">
        <f>AVERAGE(E59:F60)</f>
        <v>7.5</v>
      </c>
      <c r="H59" s="70"/>
      <c r="I59" s="69">
        <f>(G59/10)*100</f>
        <v>75</v>
      </c>
      <c r="J59" s="70"/>
      <c r="K59" s="69">
        <f>(G59/$G$35)*100</f>
        <v>83.33333333</v>
      </c>
      <c r="L59" s="70"/>
      <c r="M59" s="69">
        <f>O29</f>
        <v>35.96564955</v>
      </c>
      <c r="N59" s="70"/>
      <c r="O59" s="69">
        <f>(K59*M59)/100</f>
        <v>29.97137463</v>
      </c>
      <c r="P59" s="70"/>
      <c r="Q59" s="69">
        <f>(G59-$G$35)/$G$35</f>
        <v>-0.1666666667</v>
      </c>
      <c r="R59" s="70"/>
      <c r="S59" s="69">
        <f t="array" ref="S59">INDEX($C$30:$Z$30, INT((ROW(A25)+1)/2))</f>
        <v>-0.6403435045</v>
      </c>
      <c r="T59" s="70"/>
    </row>
    <row r="60" ht="15.75" customHeight="1">
      <c r="A60" s="81"/>
      <c r="B60" s="17"/>
      <c r="C60" s="28"/>
      <c r="D60" s="80">
        <v>2.0</v>
      </c>
      <c r="E60" s="77">
        <v>8.0</v>
      </c>
      <c r="F60" s="10"/>
      <c r="G60" s="64"/>
      <c r="H60" s="63"/>
      <c r="I60" s="64"/>
      <c r="J60" s="63"/>
      <c r="K60" s="64"/>
      <c r="L60" s="63"/>
      <c r="M60" s="64"/>
      <c r="N60" s="63"/>
      <c r="O60" s="64"/>
      <c r="P60" s="63"/>
      <c r="Q60" s="64"/>
      <c r="R60" s="63"/>
      <c r="S60" s="64"/>
      <c r="T60" s="63"/>
    </row>
    <row r="61" ht="15.75" customHeight="1">
      <c r="B61" s="17"/>
      <c r="C61" s="79">
        <v>100.0</v>
      </c>
      <c r="D61" s="80">
        <v>1.0</v>
      </c>
      <c r="E61" s="77">
        <v>4.0</v>
      </c>
      <c r="F61" s="10"/>
      <c r="G61" s="69">
        <f>AVERAGE(E61:F62)</f>
        <v>3</v>
      </c>
      <c r="H61" s="70"/>
      <c r="I61" s="69">
        <f>(G61/10)*100</f>
        <v>30</v>
      </c>
      <c r="J61" s="70"/>
      <c r="K61" s="69">
        <f>(G61/$G$35)*100</f>
        <v>33.33333333</v>
      </c>
      <c r="L61" s="70"/>
      <c r="M61" s="69">
        <f>P29</f>
        <v>27.59485961</v>
      </c>
      <c r="N61" s="70"/>
      <c r="O61" s="69">
        <f>(K61*M61)/100</f>
        <v>9.198286538</v>
      </c>
      <c r="P61" s="70"/>
      <c r="Q61" s="69">
        <f>(G61-$G$35)/$G$35</f>
        <v>-0.6666666667</v>
      </c>
      <c r="R61" s="70"/>
      <c r="S61" s="69">
        <f t="array" ref="S61">INDEX($C$30:$Z$30, INT((ROW(A27)+1)/2))</f>
        <v>-0.7240514039</v>
      </c>
      <c r="T61" s="70"/>
    </row>
    <row r="62" ht="15.75" customHeight="1">
      <c r="B62" s="28"/>
      <c r="C62" s="28"/>
      <c r="D62" s="80">
        <v>2.0</v>
      </c>
      <c r="E62" s="77">
        <v>2.0</v>
      </c>
      <c r="F62" s="10"/>
      <c r="G62" s="64"/>
      <c r="H62" s="63"/>
      <c r="I62" s="64"/>
      <c r="J62" s="63"/>
      <c r="K62" s="64"/>
      <c r="L62" s="63"/>
      <c r="M62" s="64"/>
      <c r="N62" s="63"/>
      <c r="O62" s="64"/>
      <c r="P62" s="63"/>
      <c r="Q62" s="64"/>
      <c r="R62" s="63"/>
      <c r="S62" s="64"/>
      <c r="T62" s="63"/>
    </row>
    <row r="63" ht="15.75" customHeight="1">
      <c r="B63" s="82" t="s">
        <v>6</v>
      </c>
      <c r="C63" s="83">
        <v>0.0</v>
      </c>
      <c r="D63" s="84">
        <v>1.0</v>
      </c>
      <c r="E63" s="77">
        <v>6.0</v>
      </c>
      <c r="F63" s="10"/>
      <c r="G63" s="69">
        <f>AVERAGE(E63:F64)</f>
        <v>7</v>
      </c>
      <c r="H63" s="70"/>
      <c r="I63" s="69">
        <f>(G63/10)*100</f>
        <v>70</v>
      </c>
      <c r="J63" s="70"/>
      <c r="K63" s="69">
        <f>(G63/$G$35)*100</f>
        <v>77.77777778</v>
      </c>
      <c r="L63" s="70"/>
      <c r="M63" s="69">
        <f>Q29</f>
        <v>100.7830649</v>
      </c>
      <c r="N63" s="70"/>
      <c r="O63" s="69">
        <f>(K63*M63)/100</f>
        <v>78.38682827</v>
      </c>
      <c r="P63" s="70"/>
      <c r="Q63" s="69">
        <f>(G63-$G$35)/$G$35</f>
        <v>-0.2222222222</v>
      </c>
      <c r="R63" s="70"/>
      <c r="S63" s="69">
        <f t="array" ref="S63">INDEX($C$30:$Z$30, INT((ROW(A29)+1)/2))</f>
        <v>0.007830649161</v>
      </c>
      <c r="T63" s="70"/>
    </row>
    <row r="64" ht="15.75" customHeight="1">
      <c r="B64" s="17"/>
      <c r="C64" s="28"/>
      <c r="D64" s="84">
        <v>2.0</v>
      </c>
      <c r="E64" s="77">
        <v>8.0</v>
      </c>
      <c r="F64" s="10"/>
      <c r="G64" s="64"/>
      <c r="H64" s="63"/>
      <c r="I64" s="64"/>
      <c r="J64" s="63"/>
      <c r="K64" s="64"/>
      <c r="L64" s="63"/>
      <c r="M64" s="64"/>
      <c r="N64" s="63"/>
      <c r="O64" s="64"/>
      <c r="P64" s="63"/>
      <c r="Q64" s="64"/>
      <c r="R64" s="63"/>
      <c r="S64" s="64"/>
      <c r="T64" s="63"/>
    </row>
    <row r="65" ht="15.75" customHeight="1">
      <c r="B65" s="17"/>
      <c r="C65" s="83">
        <v>25.0</v>
      </c>
      <c r="D65" s="84">
        <v>1.0</v>
      </c>
      <c r="E65" s="77">
        <v>9.0</v>
      </c>
      <c r="F65" s="10"/>
      <c r="G65" s="69">
        <f>AVERAGE(E65:F66)</f>
        <v>8</v>
      </c>
      <c r="H65" s="70"/>
      <c r="I65" s="69">
        <f>(G65/10)*100</f>
        <v>80</v>
      </c>
      <c r="J65" s="70"/>
      <c r="K65" s="69">
        <f>(G65/$G$35)*100</f>
        <v>88.88888889</v>
      </c>
      <c r="L65" s="70"/>
      <c r="M65" s="69">
        <f>R29</f>
        <v>90.59930568</v>
      </c>
      <c r="N65" s="70"/>
      <c r="O65" s="69">
        <f>(K65*M65)/100</f>
        <v>80.53271616</v>
      </c>
      <c r="P65" s="70"/>
      <c r="Q65" s="69">
        <f>(G65-$G$35)/$G$35</f>
        <v>-0.1111111111</v>
      </c>
      <c r="R65" s="70"/>
      <c r="S65" s="69">
        <f t="array" ref="S65">INDEX($C$30:$Z$30, INT((ROW(A31)+1)/2))</f>
        <v>-0.09400694318</v>
      </c>
      <c r="T65" s="70"/>
    </row>
    <row r="66" ht="15.75" customHeight="1">
      <c r="B66" s="17"/>
      <c r="C66" s="28"/>
      <c r="D66" s="84">
        <v>2.0</v>
      </c>
      <c r="E66" s="77">
        <v>7.0</v>
      </c>
      <c r="F66" s="10"/>
      <c r="G66" s="64"/>
      <c r="H66" s="63"/>
      <c r="I66" s="64"/>
      <c r="J66" s="63"/>
      <c r="K66" s="64"/>
      <c r="L66" s="63"/>
      <c r="M66" s="64"/>
      <c r="N66" s="63"/>
      <c r="O66" s="64"/>
      <c r="P66" s="63"/>
      <c r="Q66" s="64"/>
      <c r="R66" s="63"/>
      <c r="S66" s="64"/>
      <c r="T66" s="63"/>
    </row>
    <row r="67" ht="15.75" customHeight="1">
      <c r="B67" s="17"/>
      <c r="C67" s="83">
        <v>50.0</v>
      </c>
      <c r="D67" s="84">
        <v>1.0</v>
      </c>
      <c r="E67" s="77">
        <v>4.0</v>
      </c>
      <c r="F67" s="10"/>
      <c r="G67" s="69">
        <f>AVERAGE(E67:F68)</f>
        <v>6</v>
      </c>
      <c r="H67" s="70"/>
      <c r="I67" s="69">
        <f>(G67/10)*100</f>
        <v>60</v>
      </c>
      <c r="J67" s="70"/>
      <c r="K67" s="69">
        <f>(G67/$G$35)*100</f>
        <v>66.66666667</v>
      </c>
      <c r="L67" s="70"/>
      <c r="M67" s="69">
        <f>S29</f>
        <v>68.21365491</v>
      </c>
      <c r="N67" s="70"/>
      <c r="O67" s="69">
        <f>(K67*M67)/100</f>
        <v>45.47576994</v>
      </c>
      <c r="P67" s="70"/>
      <c r="Q67" s="69">
        <f>(G67-$G$35)/$G$35</f>
        <v>-0.3333333333</v>
      </c>
      <c r="R67" s="70"/>
      <c r="S67" s="69">
        <f t="array" ref="S67">INDEX($C$30:$Z$30, INT((ROW(A33)+1)/2))</f>
        <v>-0.3178634509</v>
      </c>
      <c r="T67" s="70"/>
    </row>
    <row r="68" ht="15.75" customHeight="1">
      <c r="B68" s="17"/>
      <c r="C68" s="28"/>
      <c r="D68" s="84">
        <v>2.0</v>
      </c>
      <c r="E68" s="77">
        <v>8.0</v>
      </c>
      <c r="F68" s="10"/>
      <c r="G68" s="64"/>
      <c r="H68" s="63"/>
      <c r="I68" s="64"/>
      <c r="J68" s="63"/>
      <c r="K68" s="64"/>
      <c r="L68" s="63"/>
      <c r="M68" s="64"/>
      <c r="N68" s="63"/>
      <c r="O68" s="64"/>
      <c r="P68" s="63"/>
      <c r="Q68" s="64"/>
      <c r="R68" s="63"/>
      <c r="S68" s="64"/>
      <c r="T68" s="63"/>
    </row>
    <row r="69" ht="15.75" customHeight="1">
      <c r="B69" s="17"/>
      <c r="C69" s="83">
        <v>75.0</v>
      </c>
      <c r="D69" s="84">
        <v>1.0</v>
      </c>
      <c r="E69" s="77">
        <v>6.0</v>
      </c>
      <c r="F69" s="10"/>
      <c r="G69" s="69">
        <f>AVERAGE(E69:F70)</f>
        <v>7</v>
      </c>
      <c r="H69" s="70"/>
      <c r="I69" s="69">
        <f>(G69/10)*100</f>
        <v>70</v>
      </c>
      <c r="J69" s="70"/>
      <c r="K69" s="69">
        <f>(G69/$G$35)*100</f>
        <v>77.77777778</v>
      </c>
      <c r="L69" s="70"/>
      <c r="M69" s="69">
        <f>T29</f>
        <v>48.74057059</v>
      </c>
      <c r="N69" s="70"/>
      <c r="O69" s="69">
        <f>(K69*M69)/100</f>
        <v>37.90933268</v>
      </c>
      <c r="P69" s="70"/>
      <c r="Q69" s="69">
        <f>(G69-$G$35)/$G$35</f>
        <v>-0.2222222222</v>
      </c>
      <c r="R69" s="70"/>
      <c r="S69" s="69">
        <f t="array" ref="S69">INDEX($C$30:$Z$30, INT((ROW(A35)+1)/2))</f>
        <v>-0.5125942941</v>
      </c>
      <c r="T69" s="70"/>
    </row>
    <row r="70" ht="15.75" customHeight="1">
      <c r="B70" s="17"/>
      <c r="C70" s="28"/>
      <c r="D70" s="84">
        <v>2.0</v>
      </c>
      <c r="E70" s="77">
        <v>8.0</v>
      </c>
      <c r="F70" s="10"/>
      <c r="G70" s="64"/>
      <c r="H70" s="63"/>
      <c r="I70" s="64"/>
      <c r="J70" s="63"/>
      <c r="K70" s="64"/>
      <c r="L70" s="63"/>
      <c r="M70" s="64"/>
      <c r="N70" s="63"/>
      <c r="O70" s="64"/>
      <c r="P70" s="63"/>
      <c r="Q70" s="64"/>
      <c r="R70" s="63"/>
      <c r="S70" s="64"/>
      <c r="T70" s="63"/>
    </row>
    <row r="71" ht="15.75" customHeight="1">
      <c r="B71" s="17"/>
      <c r="C71" s="83">
        <v>100.0</v>
      </c>
      <c r="D71" s="84">
        <v>1.0</v>
      </c>
      <c r="E71" s="77">
        <v>8.0</v>
      </c>
      <c r="F71" s="10"/>
      <c r="G71" s="69">
        <f>AVERAGE(E71:F72)</f>
        <v>7.5</v>
      </c>
      <c r="H71" s="70"/>
      <c r="I71" s="69">
        <f>(G71/10)*100</f>
        <v>75</v>
      </c>
      <c r="J71" s="70"/>
      <c r="K71" s="69">
        <f>(G71/$G$35)*100</f>
        <v>83.33333333</v>
      </c>
      <c r="L71" s="70"/>
      <c r="M71" s="69">
        <f>U29</f>
        <v>28.6911505</v>
      </c>
      <c r="N71" s="70"/>
      <c r="O71" s="69">
        <f>(K71*M71)/100</f>
        <v>23.90929208</v>
      </c>
      <c r="P71" s="70"/>
      <c r="Q71" s="69">
        <f>(G71-$G$35)/$G$35</f>
        <v>-0.1666666667</v>
      </c>
      <c r="R71" s="70"/>
      <c r="S71" s="69">
        <f t="array" ref="S71">INDEX($C$30:$Z$30, INT((ROW(A37)+1)/2))</f>
        <v>-0.713088495</v>
      </c>
      <c r="T71" s="70"/>
    </row>
    <row r="72" ht="15.75" customHeight="1">
      <c r="B72" s="28"/>
      <c r="C72" s="28"/>
      <c r="D72" s="84">
        <v>2.0</v>
      </c>
      <c r="E72" s="77">
        <v>7.0</v>
      </c>
      <c r="F72" s="10"/>
      <c r="G72" s="64"/>
      <c r="H72" s="63"/>
      <c r="I72" s="64"/>
      <c r="J72" s="63"/>
      <c r="K72" s="64"/>
      <c r="L72" s="63"/>
      <c r="M72" s="64"/>
      <c r="N72" s="63"/>
      <c r="O72" s="64"/>
      <c r="P72" s="63"/>
      <c r="Q72" s="64"/>
      <c r="R72" s="63"/>
      <c r="S72" s="64"/>
      <c r="T72" s="63"/>
    </row>
    <row r="73" ht="15.75" customHeight="1">
      <c r="B73" s="85" t="s">
        <v>7</v>
      </c>
      <c r="C73" s="86">
        <v>0.0</v>
      </c>
      <c r="D73" s="87">
        <v>1.0</v>
      </c>
      <c r="E73" s="77">
        <v>7.0</v>
      </c>
      <c r="F73" s="10"/>
      <c r="G73" s="69">
        <f>AVERAGE(E73:F74)</f>
        <v>8</v>
      </c>
      <c r="H73" s="70"/>
      <c r="I73" s="69">
        <f>(G73/10)*100</f>
        <v>80</v>
      </c>
      <c r="J73" s="70"/>
      <c r="K73" s="69">
        <f>(G73/$G$35)*100</f>
        <v>88.88888889</v>
      </c>
      <c r="L73" s="70"/>
      <c r="M73" s="69">
        <f>V29</f>
        <v>94.35410196</v>
      </c>
      <c r="N73" s="70"/>
      <c r="O73" s="69">
        <f>(K73*M73)/100</f>
        <v>83.87031285</v>
      </c>
      <c r="P73" s="70"/>
      <c r="Q73" s="69">
        <f>(G73-$G$35)/$G$35</f>
        <v>-0.1111111111</v>
      </c>
      <c r="R73" s="70"/>
      <c r="S73" s="69">
        <f t="array" ref="S73">INDEX($C$30:$Z$30, INT((ROW(A39)+1)/2))</f>
        <v>-0.05645898045</v>
      </c>
      <c r="T73" s="70"/>
    </row>
    <row r="74" ht="15.75" customHeight="1">
      <c r="B74" s="17"/>
      <c r="C74" s="28"/>
      <c r="D74" s="87">
        <v>2.0</v>
      </c>
      <c r="E74" s="77">
        <v>9.0</v>
      </c>
      <c r="F74" s="10"/>
      <c r="G74" s="64"/>
      <c r="H74" s="63"/>
      <c r="I74" s="64"/>
      <c r="J74" s="63"/>
      <c r="K74" s="64"/>
      <c r="L74" s="63"/>
      <c r="M74" s="64"/>
      <c r="N74" s="63"/>
      <c r="O74" s="64"/>
      <c r="P74" s="63"/>
      <c r="Q74" s="64"/>
      <c r="R74" s="63"/>
      <c r="S74" s="64"/>
      <c r="T74" s="63"/>
    </row>
    <row r="75" ht="15.75" customHeight="1">
      <c r="B75" s="17"/>
      <c r="C75" s="86">
        <v>25.0</v>
      </c>
      <c r="D75" s="87">
        <v>1.0</v>
      </c>
      <c r="E75" s="77">
        <v>7.0</v>
      </c>
      <c r="F75" s="10"/>
      <c r="G75" s="69">
        <f>AVERAGE(E75:F76)</f>
        <v>8.5</v>
      </c>
      <c r="H75" s="70"/>
      <c r="I75" s="69">
        <f>(G75/10)*100</f>
        <v>85</v>
      </c>
      <c r="J75" s="70"/>
      <c r="K75" s="69">
        <f>(G75/$G$35)*100</f>
        <v>94.44444444</v>
      </c>
      <c r="L75" s="70"/>
      <c r="M75" s="69">
        <f>W29</f>
        <v>89.80127041</v>
      </c>
      <c r="N75" s="70"/>
      <c r="O75" s="69">
        <f>(K75*M75)/100</f>
        <v>84.81231094</v>
      </c>
      <c r="P75" s="70"/>
      <c r="Q75" s="69">
        <f>(G75-$G$35)/$G$35</f>
        <v>-0.05555555556</v>
      </c>
      <c r="R75" s="70"/>
      <c r="S75" s="69">
        <f t="array" ref="S75">INDEX($C$30:$Z$30, INT((ROW(A41)+1)/2))</f>
        <v>-0.1019872959</v>
      </c>
      <c r="T75" s="70"/>
    </row>
    <row r="76" ht="15.75" customHeight="1">
      <c r="B76" s="17"/>
      <c r="C76" s="28"/>
      <c r="D76" s="87">
        <v>2.0</v>
      </c>
      <c r="E76" s="77">
        <v>10.0</v>
      </c>
      <c r="F76" s="10"/>
      <c r="G76" s="64"/>
      <c r="H76" s="63"/>
      <c r="I76" s="64"/>
      <c r="J76" s="63"/>
      <c r="K76" s="64"/>
      <c r="L76" s="63"/>
      <c r="M76" s="64"/>
      <c r="N76" s="63"/>
      <c r="O76" s="64"/>
      <c r="P76" s="63"/>
      <c r="Q76" s="64"/>
      <c r="R76" s="63"/>
      <c r="S76" s="64"/>
      <c r="T76" s="63"/>
    </row>
    <row r="77" ht="15.75" customHeight="1">
      <c r="B77" s="17"/>
      <c r="C77" s="86">
        <v>50.0</v>
      </c>
      <c r="D77" s="87">
        <v>1.0</v>
      </c>
      <c r="E77" s="77">
        <v>8.0</v>
      </c>
      <c r="F77" s="10"/>
      <c r="G77" s="69">
        <f>AVERAGE(E77:F78)</f>
        <v>7.5</v>
      </c>
      <c r="H77" s="70"/>
      <c r="I77" s="69">
        <f>(G77/10)*100</f>
        <v>75</v>
      </c>
      <c r="J77" s="70"/>
      <c r="K77" s="69">
        <f>(G77/$G$35)*100</f>
        <v>83.33333333</v>
      </c>
      <c r="L77" s="70"/>
      <c r="M77" s="69">
        <f>X29</f>
        <v>52.07138072</v>
      </c>
      <c r="N77" s="70"/>
      <c r="O77" s="69">
        <f>(K77*M77)/100</f>
        <v>43.39281726</v>
      </c>
      <c r="P77" s="70"/>
      <c r="Q77" s="69">
        <f>(G77-$G$35)/$G$35</f>
        <v>-0.1666666667</v>
      </c>
      <c r="R77" s="70"/>
      <c r="S77" s="69">
        <f t="array" ref="S77">INDEX($C$30:$Z$30, INT((ROW(A43)+1)/2))</f>
        <v>-0.4792861928</v>
      </c>
      <c r="T77" s="70"/>
    </row>
    <row r="78" ht="15.75" customHeight="1">
      <c r="B78" s="17"/>
      <c r="C78" s="28"/>
      <c r="D78" s="87">
        <v>2.0</v>
      </c>
      <c r="E78" s="77">
        <v>7.0</v>
      </c>
      <c r="F78" s="10"/>
      <c r="G78" s="64"/>
      <c r="H78" s="63"/>
      <c r="I78" s="64"/>
      <c r="J78" s="63"/>
      <c r="K78" s="64"/>
      <c r="L78" s="63"/>
      <c r="M78" s="64"/>
      <c r="N78" s="63"/>
      <c r="O78" s="64"/>
      <c r="P78" s="63"/>
      <c r="Q78" s="64"/>
      <c r="R78" s="63"/>
      <c r="S78" s="64"/>
      <c r="T78" s="63"/>
    </row>
    <row r="79" ht="15.75" customHeight="1">
      <c r="B79" s="17"/>
      <c r="C79" s="86">
        <v>75.0</v>
      </c>
      <c r="D79" s="87">
        <v>1.0</v>
      </c>
      <c r="E79" s="77">
        <v>10.0</v>
      </c>
      <c r="F79" s="10"/>
      <c r="G79" s="69">
        <f>AVERAGE(E79:F80)</f>
        <v>10</v>
      </c>
      <c r="H79" s="70"/>
      <c r="I79" s="69">
        <f>(G79/10)*100</f>
        <v>100</v>
      </c>
      <c r="J79" s="70"/>
      <c r="K79" s="69">
        <f>(G79/$G$35)*100</f>
        <v>111.1111111</v>
      </c>
      <c r="L79" s="70"/>
      <c r="M79" s="69">
        <f>Y29</f>
        <v>42.27845788</v>
      </c>
      <c r="N79" s="70"/>
      <c r="O79" s="69">
        <f>(K79*M79)/100</f>
        <v>46.97606432</v>
      </c>
      <c r="P79" s="70"/>
      <c r="Q79" s="69">
        <f>(G79-$G$35)/$G$35</f>
        <v>0.1111111111</v>
      </c>
      <c r="R79" s="70"/>
      <c r="S79" s="69">
        <f t="array" ref="S79">INDEX($C$30:$Z$30, INT((ROW(A45)+1)/2))</f>
        <v>-0.5772154212</v>
      </c>
      <c r="T79" s="70"/>
    </row>
    <row r="80" ht="15.75" customHeight="1">
      <c r="B80" s="17"/>
      <c r="C80" s="28"/>
      <c r="D80" s="87">
        <v>2.0</v>
      </c>
      <c r="E80" s="77">
        <v>10.0</v>
      </c>
      <c r="F80" s="10"/>
      <c r="G80" s="64"/>
      <c r="H80" s="63"/>
      <c r="I80" s="64"/>
      <c r="J80" s="63"/>
      <c r="K80" s="64"/>
      <c r="L80" s="63"/>
      <c r="M80" s="64"/>
      <c r="N80" s="63"/>
      <c r="O80" s="64"/>
      <c r="P80" s="63"/>
      <c r="Q80" s="64"/>
      <c r="R80" s="63"/>
      <c r="S80" s="64"/>
      <c r="T80" s="63"/>
    </row>
    <row r="81" ht="15.75" customHeight="1">
      <c r="B81" s="17"/>
      <c r="C81" s="86">
        <v>100.0</v>
      </c>
      <c r="D81" s="87">
        <v>1.0</v>
      </c>
      <c r="E81" s="77">
        <v>9.0</v>
      </c>
      <c r="F81" s="10"/>
      <c r="G81" s="69">
        <f>AVERAGE(E81:F82)</f>
        <v>6.5</v>
      </c>
      <c r="H81" s="70"/>
      <c r="I81" s="69">
        <f>(G81/10)*100</f>
        <v>65</v>
      </c>
      <c r="J81" s="70"/>
      <c r="K81" s="69">
        <f>(G81/$G$35)*100</f>
        <v>72.22222222</v>
      </c>
      <c r="L81" s="70"/>
      <c r="M81" s="69">
        <f>Z29</f>
        <v>22.70446528</v>
      </c>
      <c r="N81" s="70"/>
      <c r="O81" s="69">
        <f>(K81*M81)/100</f>
        <v>16.39766937</v>
      </c>
      <c r="P81" s="70"/>
      <c r="Q81" s="69">
        <f>(G81-$G$35)/$G$35</f>
        <v>-0.2777777778</v>
      </c>
      <c r="R81" s="70"/>
      <c r="S81" s="69">
        <f t="array" ref="S81">INDEX($C$30:$Z$30, INT((ROW(A47)+1)/2))</f>
        <v>-0.7729553472</v>
      </c>
      <c r="T81" s="70"/>
    </row>
    <row r="82" ht="15.75" customHeight="1">
      <c r="B82" s="28"/>
      <c r="C82" s="28"/>
      <c r="D82" s="87">
        <v>2.0</v>
      </c>
      <c r="E82" s="77">
        <v>4.0</v>
      </c>
      <c r="F82" s="10"/>
      <c r="G82" s="64"/>
      <c r="H82" s="63"/>
      <c r="I82" s="64"/>
      <c r="J82" s="63"/>
      <c r="K82" s="64"/>
      <c r="L82" s="63"/>
      <c r="M82" s="64"/>
      <c r="N82" s="63"/>
      <c r="O82" s="64"/>
      <c r="P82" s="63"/>
      <c r="Q82" s="64"/>
      <c r="R82" s="63"/>
      <c r="S82" s="64"/>
      <c r="T82" s="6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1.25" customHeight="1"/>
    <row r="98" ht="24.75" customHeight="1"/>
    <row r="99" ht="22.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91">
    <mergeCell ref="E48:F48"/>
    <mergeCell ref="E49:F49"/>
    <mergeCell ref="G49:H50"/>
    <mergeCell ref="I49:J50"/>
    <mergeCell ref="M49:N50"/>
    <mergeCell ref="O49:P50"/>
    <mergeCell ref="K49:L50"/>
    <mergeCell ref="E50:F50"/>
    <mergeCell ref="E51:F51"/>
    <mergeCell ref="G51:H52"/>
    <mergeCell ref="I51:J52"/>
    <mergeCell ref="M51:N52"/>
    <mergeCell ref="O51:P52"/>
    <mergeCell ref="K51:L52"/>
    <mergeCell ref="Q47:R48"/>
    <mergeCell ref="Q49:R50"/>
    <mergeCell ref="Q51:R52"/>
    <mergeCell ref="Q53:R54"/>
    <mergeCell ref="Q55:R56"/>
    <mergeCell ref="K53:L54"/>
    <mergeCell ref="K55:L56"/>
    <mergeCell ref="E42:F42"/>
    <mergeCell ref="E43:F43"/>
    <mergeCell ref="G43:H44"/>
    <mergeCell ref="I43:J44"/>
    <mergeCell ref="M43:N44"/>
    <mergeCell ref="O43:P44"/>
    <mergeCell ref="Q43:R44"/>
    <mergeCell ref="K43:L44"/>
    <mergeCell ref="E44:F44"/>
    <mergeCell ref="E45:F45"/>
    <mergeCell ref="G45:H46"/>
    <mergeCell ref="I45:J46"/>
    <mergeCell ref="M45:N46"/>
    <mergeCell ref="O45:P46"/>
    <mergeCell ref="Q45:R46"/>
    <mergeCell ref="K45:L46"/>
    <mergeCell ref="E46:F46"/>
    <mergeCell ref="E47:F47"/>
    <mergeCell ref="G47:H48"/>
    <mergeCell ref="I47:J48"/>
    <mergeCell ref="M47:N48"/>
    <mergeCell ref="O47:P48"/>
    <mergeCell ref="K47:L48"/>
    <mergeCell ref="E56:F56"/>
    <mergeCell ref="E57:F57"/>
    <mergeCell ref="S47:T48"/>
    <mergeCell ref="S49:T50"/>
    <mergeCell ref="S51:T52"/>
    <mergeCell ref="Q59:R60"/>
    <mergeCell ref="Q61:R62"/>
    <mergeCell ref="Q65:R66"/>
    <mergeCell ref="Q67:R68"/>
    <mergeCell ref="K61:L62"/>
    <mergeCell ref="K63:L64"/>
    <mergeCell ref="E54:F54"/>
    <mergeCell ref="E55:F55"/>
    <mergeCell ref="G55:H56"/>
    <mergeCell ref="I55:J56"/>
    <mergeCell ref="M55:N56"/>
    <mergeCell ref="O55:P56"/>
    <mergeCell ref="G57:H58"/>
    <mergeCell ref="I57:J58"/>
    <mergeCell ref="M57:N58"/>
    <mergeCell ref="O57:P58"/>
    <mergeCell ref="S57:T58"/>
    <mergeCell ref="Q57:R58"/>
    <mergeCell ref="K57:L58"/>
    <mergeCell ref="E58:F58"/>
    <mergeCell ref="E59:F59"/>
    <mergeCell ref="G59:H60"/>
    <mergeCell ref="I59:J60"/>
    <mergeCell ref="M59:N60"/>
    <mergeCell ref="O59:P60"/>
    <mergeCell ref="K59:L60"/>
    <mergeCell ref="S55:T56"/>
    <mergeCell ref="S59:T60"/>
    <mergeCell ref="S61:T62"/>
    <mergeCell ref="S63:T64"/>
    <mergeCell ref="S67:T68"/>
    <mergeCell ref="K67:L68"/>
    <mergeCell ref="E60:F60"/>
    <mergeCell ref="E61:F61"/>
    <mergeCell ref="G61:H62"/>
    <mergeCell ref="I61:J62"/>
    <mergeCell ref="M61:N62"/>
    <mergeCell ref="O61:P62"/>
    <mergeCell ref="E62:F62"/>
    <mergeCell ref="E63:F63"/>
    <mergeCell ref="G63:H64"/>
    <mergeCell ref="I63:J64"/>
    <mergeCell ref="M63:N64"/>
    <mergeCell ref="O63:P64"/>
    <mergeCell ref="Q63:R64"/>
    <mergeCell ref="E64:F64"/>
    <mergeCell ref="E65:F65"/>
    <mergeCell ref="G65:H66"/>
    <mergeCell ref="I65:J66"/>
    <mergeCell ref="M65:N66"/>
    <mergeCell ref="O65:P66"/>
    <mergeCell ref="K65:L66"/>
    <mergeCell ref="E70:F70"/>
    <mergeCell ref="E71:F71"/>
    <mergeCell ref="S65:T66"/>
    <mergeCell ref="S69:T70"/>
    <mergeCell ref="Q69:R70"/>
    <mergeCell ref="K69:L70"/>
    <mergeCell ref="B2:Z2"/>
    <mergeCell ref="B3:Z3"/>
    <mergeCell ref="C4:F4"/>
    <mergeCell ref="G4:K4"/>
    <mergeCell ref="L4:P4"/>
    <mergeCell ref="Q4:U4"/>
    <mergeCell ref="V4:Z4"/>
    <mergeCell ref="I5:I6"/>
    <mergeCell ref="J5:J6"/>
    <mergeCell ref="K5:K6"/>
    <mergeCell ref="L5:L6"/>
    <mergeCell ref="M5:M6"/>
    <mergeCell ref="N5:N6"/>
    <mergeCell ref="O5:O6"/>
    <mergeCell ref="W5:W6"/>
    <mergeCell ref="X5:X6"/>
    <mergeCell ref="Y5:Y6"/>
    <mergeCell ref="Z5:Z6"/>
    <mergeCell ref="P5:P6"/>
    <mergeCell ref="Q5:Q6"/>
    <mergeCell ref="R5:R6"/>
    <mergeCell ref="S5:S6"/>
    <mergeCell ref="T5:T6"/>
    <mergeCell ref="U5:U6"/>
    <mergeCell ref="V5:V6"/>
    <mergeCell ref="B4:B6"/>
    <mergeCell ref="C5:C6"/>
    <mergeCell ref="D5:D6"/>
    <mergeCell ref="E5:E6"/>
    <mergeCell ref="F5:F6"/>
    <mergeCell ref="G5:G6"/>
    <mergeCell ref="H5:H6"/>
    <mergeCell ref="G33:H34"/>
    <mergeCell ref="I33:J34"/>
    <mergeCell ref="K33:L34"/>
    <mergeCell ref="M33:N34"/>
    <mergeCell ref="E35:F35"/>
    <mergeCell ref="E36:F36"/>
    <mergeCell ref="E37:F37"/>
    <mergeCell ref="G37:H38"/>
    <mergeCell ref="I37:J38"/>
    <mergeCell ref="M37:N38"/>
    <mergeCell ref="K37:L38"/>
    <mergeCell ref="E38:F38"/>
    <mergeCell ref="E39:F39"/>
    <mergeCell ref="G39:H40"/>
    <mergeCell ref="I39:J40"/>
    <mergeCell ref="M39:N40"/>
    <mergeCell ref="O39:P40"/>
    <mergeCell ref="K39:L40"/>
    <mergeCell ref="E40:F40"/>
    <mergeCell ref="E41:F41"/>
    <mergeCell ref="G41:H42"/>
    <mergeCell ref="I41:J42"/>
    <mergeCell ref="M41:N42"/>
    <mergeCell ref="O41:P42"/>
    <mergeCell ref="K41:L42"/>
    <mergeCell ref="S41:T42"/>
    <mergeCell ref="Q41:R42"/>
    <mergeCell ref="C43:C44"/>
    <mergeCell ref="C45:C46"/>
    <mergeCell ref="C47:C48"/>
    <mergeCell ref="C49:C50"/>
    <mergeCell ref="B43:B52"/>
    <mergeCell ref="B53:B62"/>
    <mergeCell ref="B63:B72"/>
    <mergeCell ref="B73:B82"/>
    <mergeCell ref="B33:B34"/>
    <mergeCell ref="B35:B42"/>
    <mergeCell ref="C35:C36"/>
    <mergeCell ref="C37:C38"/>
    <mergeCell ref="C39:C40"/>
    <mergeCell ref="C41:C42"/>
    <mergeCell ref="C51:C52"/>
    <mergeCell ref="C67:C68"/>
    <mergeCell ref="C69:C70"/>
    <mergeCell ref="C71:C72"/>
    <mergeCell ref="C73:C74"/>
    <mergeCell ref="C75:C76"/>
    <mergeCell ref="C77:C78"/>
    <mergeCell ref="C79:C80"/>
    <mergeCell ref="C81:C82"/>
    <mergeCell ref="C53:C54"/>
    <mergeCell ref="C55:C56"/>
    <mergeCell ref="C57:C58"/>
    <mergeCell ref="C59:C60"/>
    <mergeCell ref="C61:C62"/>
    <mergeCell ref="C63:C64"/>
    <mergeCell ref="C65:C66"/>
    <mergeCell ref="O33:P34"/>
    <mergeCell ref="Q33:R34"/>
    <mergeCell ref="B7:B16"/>
    <mergeCell ref="B17:B26"/>
    <mergeCell ref="B32:T32"/>
    <mergeCell ref="C33:C34"/>
    <mergeCell ref="D33:D34"/>
    <mergeCell ref="E33:F34"/>
    <mergeCell ref="S33:T34"/>
    <mergeCell ref="G35:H36"/>
    <mergeCell ref="I35:J36"/>
    <mergeCell ref="K35:L36"/>
    <mergeCell ref="M35:N36"/>
    <mergeCell ref="O35:P36"/>
    <mergeCell ref="Q35:R36"/>
    <mergeCell ref="S35:T36"/>
    <mergeCell ref="O37:P38"/>
    <mergeCell ref="S37:T38"/>
    <mergeCell ref="Q37:R38"/>
    <mergeCell ref="S39:T40"/>
    <mergeCell ref="S43:T44"/>
    <mergeCell ref="S45:T46"/>
    <mergeCell ref="Q39:R40"/>
    <mergeCell ref="E52:F52"/>
    <mergeCell ref="E53:F53"/>
    <mergeCell ref="G53:H54"/>
    <mergeCell ref="I53:J54"/>
    <mergeCell ref="M53:N54"/>
    <mergeCell ref="O53:P54"/>
    <mergeCell ref="S53:T54"/>
    <mergeCell ref="E74:F74"/>
    <mergeCell ref="E75:F75"/>
    <mergeCell ref="G75:H76"/>
    <mergeCell ref="I75:J76"/>
    <mergeCell ref="M75:N76"/>
    <mergeCell ref="O75:P76"/>
    <mergeCell ref="Q75:R76"/>
    <mergeCell ref="K75:L76"/>
    <mergeCell ref="E76:F76"/>
    <mergeCell ref="E77:F77"/>
    <mergeCell ref="G77:H78"/>
    <mergeCell ref="I77:J78"/>
    <mergeCell ref="M77:N78"/>
    <mergeCell ref="O77:P78"/>
    <mergeCell ref="Q77:R78"/>
    <mergeCell ref="K77:L78"/>
    <mergeCell ref="E78:F78"/>
    <mergeCell ref="E79:F79"/>
    <mergeCell ref="G79:H80"/>
    <mergeCell ref="I79:J80"/>
    <mergeCell ref="M79:N80"/>
    <mergeCell ref="O79:P80"/>
    <mergeCell ref="K79:L80"/>
    <mergeCell ref="E80:F80"/>
    <mergeCell ref="E81:F81"/>
    <mergeCell ref="G81:H82"/>
    <mergeCell ref="I81:J82"/>
    <mergeCell ref="M81:N82"/>
    <mergeCell ref="O81:P82"/>
    <mergeCell ref="E82:F82"/>
    <mergeCell ref="K81:L82"/>
    <mergeCell ref="S79:T80"/>
    <mergeCell ref="S81:T82"/>
    <mergeCell ref="Q79:R80"/>
    <mergeCell ref="Q81:R82"/>
    <mergeCell ref="E66:F66"/>
    <mergeCell ref="E67:F67"/>
    <mergeCell ref="G67:H68"/>
    <mergeCell ref="I67:J68"/>
    <mergeCell ref="M67:N68"/>
    <mergeCell ref="O67:P68"/>
    <mergeCell ref="E68:F68"/>
    <mergeCell ref="E69:F69"/>
    <mergeCell ref="G69:H70"/>
    <mergeCell ref="I69:J70"/>
    <mergeCell ref="M69:N70"/>
    <mergeCell ref="O69:P70"/>
    <mergeCell ref="G71:H72"/>
    <mergeCell ref="I71:J72"/>
    <mergeCell ref="M71:N72"/>
    <mergeCell ref="O71:P72"/>
    <mergeCell ref="S71:T72"/>
    <mergeCell ref="Q71:R72"/>
    <mergeCell ref="K71:L72"/>
    <mergeCell ref="E72:F72"/>
    <mergeCell ref="E73:F73"/>
    <mergeCell ref="G73:H74"/>
    <mergeCell ref="I73:J74"/>
    <mergeCell ref="M73:N74"/>
    <mergeCell ref="O73:P74"/>
    <mergeCell ref="K73:L74"/>
    <mergeCell ref="S73:T74"/>
    <mergeCell ref="S75:T76"/>
    <mergeCell ref="S77:T78"/>
    <mergeCell ref="Q73:R7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3" width="12.25"/>
    <col customWidth="1" min="4" max="4" width="23.88"/>
    <col customWidth="1" min="5" max="5" width="8.38"/>
    <col customWidth="1" min="6" max="6" width="7.63"/>
    <col customWidth="1" min="7" max="7" width="7.25"/>
    <col customWidth="1" min="8" max="9" width="7.0"/>
    <col customWidth="1" min="10" max="10" width="7.75"/>
    <col customWidth="1" min="11" max="11" width="8.38"/>
    <col customWidth="1" min="13" max="13" width="19.5"/>
  </cols>
  <sheetData>
    <row r="1" ht="5.25" customHeight="1">
      <c r="A1" s="1"/>
      <c r="B1" s="1"/>
      <c r="C1" s="1"/>
      <c r="D1" s="1"/>
      <c r="E1" s="1"/>
      <c r="F1" s="1"/>
      <c r="G1" s="1"/>
      <c r="H1" s="88"/>
      <c r="I1" s="1"/>
      <c r="J1" s="1"/>
    </row>
    <row r="2" ht="15.75" customHeight="1">
      <c r="A2" s="1"/>
      <c r="B2" s="56" t="s">
        <v>20</v>
      </c>
      <c r="C2" s="56" t="s">
        <v>21</v>
      </c>
      <c r="D2" s="56" t="s">
        <v>28</v>
      </c>
      <c r="E2" s="56" t="s">
        <v>24</v>
      </c>
      <c r="F2" s="56" t="s">
        <v>25</v>
      </c>
      <c r="G2" s="56" t="s">
        <v>26</v>
      </c>
      <c r="H2" s="56" t="s">
        <v>17</v>
      </c>
      <c r="I2" s="56" t="s">
        <v>27</v>
      </c>
      <c r="J2" s="56" t="s">
        <v>18</v>
      </c>
      <c r="L2" s="89" t="s">
        <v>29</v>
      </c>
      <c r="M2" s="90" t="s">
        <v>30</v>
      </c>
      <c r="O2" s="91"/>
      <c r="P2" s="91"/>
    </row>
    <row r="3" ht="15.75" customHeight="1">
      <c r="A3" s="1"/>
      <c r="B3" s="28"/>
      <c r="C3" s="28"/>
      <c r="D3" s="28"/>
      <c r="E3" s="28"/>
      <c r="F3" s="28"/>
      <c r="G3" s="28"/>
      <c r="H3" s="28"/>
      <c r="I3" s="28"/>
      <c r="J3" s="28"/>
      <c r="L3" s="92" t="s">
        <v>31</v>
      </c>
      <c r="M3" s="93" t="s">
        <v>32</v>
      </c>
    </row>
    <row r="4" ht="15.75" customHeight="1">
      <c r="A4" s="94"/>
      <c r="B4" s="95" t="s">
        <v>4</v>
      </c>
      <c r="C4" s="96">
        <v>0.0</v>
      </c>
      <c r="D4" s="97">
        <f t="shared" ref="D4:D23" si="1">INDIRECT("'Dia 14'!G" &amp; (43 + (ROW(A1) - 1) * 2))</f>
        <v>7.5</v>
      </c>
      <c r="E4" s="97">
        <f t="shared" ref="E4:E23" si="2">INDIRECT("'Dia 14'!I" &amp; 43 + (ROW(A1)-1)*2)</f>
        <v>75</v>
      </c>
      <c r="F4" s="97">
        <f t="shared" ref="F4:F23" si="3">INDIRECT("'Dia 14'!K" &amp; 43 + (ROW(A1)-1)*2)</f>
        <v>83.33333333</v>
      </c>
      <c r="G4" s="97">
        <f t="shared" ref="G4:G23" si="4">INDIRECT("'Dia 14'!O" &amp; 43 + (ROW(A1)-1)*2)</f>
        <v>80.46369044</v>
      </c>
      <c r="H4" s="97">
        <f t="shared" ref="H4:H23" si="5">INDIRECT("'Dia 14'!M" &amp; 43 + (ROW(A1)-1)*2)</f>
        <v>96.55642853</v>
      </c>
      <c r="I4" s="97">
        <f t="shared" ref="I4:I23" si="6">INDIRECT("'Dia 14'!Q" &amp; 43 + (ROW(A1)-1)*2)</f>
        <v>-0.1666666667</v>
      </c>
      <c r="J4" s="97">
        <f t="shared" ref="J4:J23" si="7">INDIRECT("'Dia 14'!S" &amp; 43 + (ROW(A1)-1)*2)</f>
        <v>-0.03443571472</v>
      </c>
      <c r="K4" s="98"/>
      <c r="L4" s="99" t="s">
        <v>33</v>
      </c>
      <c r="M4" s="100" t="s">
        <v>34</v>
      </c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</row>
    <row r="5" ht="15.75" customHeight="1">
      <c r="A5" s="94"/>
      <c r="B5" s="17"/>
      <c r="C5" s="96">
        <v>25.0</v>
      </c>
      <c r="D5" s="97">
        <f t="shared" si="1"/>
        <v>8</v>
      </c>
      <c r="E5" s="97">
        <f t="shared" si="2"/>
        <v>80</v>
      </c>
      <c r="F5" s="97">
        <f t="shared" si="3"/>
        <v>88.88888889</v>
      </c>
      <c r="G5" s="97">
        <f t="shared" si="4"/>
        <v>63.03266541</v>
      </c>
      <c r="H5" s="97">
        <f t="shared" si="5"/>
        <v>70.91174858</v>
      </c>
      <c r="I5" s="97">
        <f t="shared" si="6"/>
        <v>-0.1111111111</v>
      </c>
      <c r="J5" s="97">
        <f t="shared" si="7"/>
        <v>-0.2908825142</v>
      </c>
      <c r="K5" s="98"/>
      <c r="L5" s="101" t="s">
        <v>35</v>
      </c>
      <c r="M5" s="102" t="s">
        <v>36</v>
      </c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</row>
    <row r="6" ht="15.75" customHeight="1">
      <c r="A6" s="94"/>
      <c r="B6" s="17"/>
      <c r="C6" s="96">
        <v>50.0</v>
      </c>
      <c r="D6" s="97">
        <f t="shared" si="1"/>
        <v>6.5</v>
      </c>
      <c r="E6" s="97">
        <f t="shared" si="2"/>
        <v>65</v>
      </c>
      <c r="F6" s="97">
        <f t="shared" si="3"/>
        <v>72.22222222</v>
      </c>
      <c r="G6" s="97">
        <f t="shared" si="4"/>
        <v>36.27606229</v>
      </c>
      <c r="H6" s="97">
        <f t="shared" si="5"/>
        <v>50.22839393</v>
      </c>
      <c r="I6" s="97">
        <f t="shared" si="6"/>
        <v>-0.2777777778</v>
      </c>
      <c r="J6" s="97">
        <f t="shared" si="7"/>
        <v>-0.4977160607</v>
      </c>
      <c r="K6" s="98"/>
      <c r="L6" s="101" t="s">
        <v>37</v>
      </c>
      <c r="M6" s="103" t="s">
        <v>38</v>
      </c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</row>
    <row r="7" ht="15.75" customHeight="1">
      <c r="A7" s="94"/>
      <c r="B7" s="17"/>
      <c r="C7" s="96">
        <v>75.0</v>
      </c>
      <c r="D7" s="97">
        <f t="shared" si="1"/>
        <v>6.5</v>
      </c>
      <c r="E7" s="97">
        <f t="shared" si="2"/>
        <v>65</v>
      </c>
      <c r="F7" s="97">
        <f t="shared" si="3"/>
        <v>72.22222222</v>
      </c>
      <c r="G7" s="97">
        <f t="shared" si="4"/>
        <v>25.50703453</v>
      </c>
      <c r="H7" s="97">
        <f t="shared" si="5"/>
        <v>35.31743243</v>
      </c>
      <c r="I7" s="97">
        <f t="shared" si="6"/>
        <v>-0.2777777778</v>
      </c>
      <c r="J7" s="97">
        <f t="shared" si="7"/>
        <v>-0.6468256757</v>
      </c>
      <c r="K7" s="98"/>
      <c r="L7" s="104"/>
      <c r="M7" s="104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</row>
    <row r="8" ht="15.75" customHeight="1">
      <c r="A8" s="94">
        <v>100.0</v>
      </c>
      <c r="B8" s="28"/>
      <c r="C8" s="96">
        <v>100.0</v>
      </c>
      <c r="D8" s="97">
        <f t="shared" si="1"/>
        <v>5</v>
      </c>
      <c r="E8" s="97">
        <f t="shared" si="2"/>
        <v>50</v>
      </c>
      <c r="F8" s="97">
        <f t="shared" si="3"/>
        <v>55.55555556</v>
      </c>
      <c r="G8" s="97">
        <f t="shared" si="4"/>
        <v>11.83588119</v>
      </c>
      <c r="H8" s="97">
        <f t="shared" si="5"/>
        <v>21.30458615</v>
      </c>
      <c r="I8" s="97">
        <f t="shared" si="6"/>
        <v>-0.4444444444</v>
      </c>
      <c r="J8" s="97">
        <f t="shared" si="7"/>
        <v>-0.7869541385</v>
      </c>
      <c r="K8" s="98"/>
      <c r="L8" s="105" t="s">
        <v>39</v>
      </c>
      <c r="M8" s="106" t="s">
        <v>40</v>
      </c>
      <c r="N8" s="7"/>
      <c r="O8" s="10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</row>
    <row r="9" ht="15.75" customHeight="1">
      <c r="A9" s="94"/>
      <c r="B9" s="107" t="s">
        <v>5</v>
      </c>
      <c r="C9" s="108">
        <v>0.0</v>
      </c>
      <c r="D9" s="97">
        <f t="shared" si="1"/>
        <v>9</v>
      </c>
      <c r="E9" s="97">
        <f t="shared" si="2"/>
        <v>90</v>
      </c>
      <c r="F9" s="97">
        <f t="shared" si="3"/>
        <v>100</v>
      </c>
      <c r="G9" s="97">
        <f t="shared" si="4"/>
        <v>107.696368</v>
      </c>
      <c r="H9" s="97">
        <f t="shared" si="5"/>
        <v>107.696368</v>
      </c>
      <c r="I9" s="97">
        <f t="shared" si="6"/>
        <v>0</v>
      </c>
      <c r="J9" s="97">
        <f t="shared" si="7"/>
        <v>0.07696368029</v>
      </c>
      <c r="K9" s="98"/>
      <c r="L9" s="105" t="s">
        <v>41</v>
      </c>
      <c r="M9" s="106" t="s">
        <v>42</v>
      </c>
      <c r="N9" s="7"/>
      <c r="O9" s="10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</row>
    <row r="10" ht="15.75" customHeight="1">
      <c r="A10" s="94"/>
      <c r="B10" s="17"/>
      <c r="C10" s="108">
        <v>25.0</v>
      </c>
      <c r="D10" s="97">
        <f t="shared" si="1"/>
        <v>8.5</v>
      </c>
      <c r="E10" s="97">
        <f t="shared" si="2"/>
        <v>85</v>
      </c>
      <c r="F10" s="97">
        <f t="shared" si="3"/>
        <v>94.44444444</v>
      </c>
      <c r="G10" s="97">
        <f t="shared" si="4"/>
        <v>66.96510141</v>
      </c>
      <c r="H10" s="97">
        <f t="shared" si="5"/>
        <v>70.90422502</v>
      </c>
      <c r="I10" s="97">
        <f t="shared" si="6"/>
        <v>-0.05555555556</v>
      </c>
      <c r="J10" s="97">
        <f t="shared" si="7"/>
        <v>-0.2909577498</v>
      </c>
      <c r="K10" s="98"/>
      <c r="L10" s="105" t="s">
        <v>43</v>
      </c>
      <c r="M10" s="106" t="s">
        <v>44</v>
      </c>
      <c r="N10" s="7"/>
      <c r="O10" s="10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</row>
    <row r="11" ht="15.75" customHeight="1">
      <c r="B11" s="17"/>
      <c r="C11" s="108">
        <v>50.0</v>
      </c>
      <c r="D11" s="97">
        <f t="shared" si="1"/>
        <v>7.5</v>
      </c>
      <c r="E11" s="97">
        <f t="shared" si="2"/>
        <v>75</v>
      </c>
      <c r="F11" s="97">
        <f t="shared" si="3"/>
        <v>83.33333333</v>
      </c>
      <c r="G11" s="97">
        <f t="shared" si="4"/>
        <v>44.31045334</v>
      </c>
      <c r="H11" s="97">
        <f t="shared" si="5"/>
        <v>53.172544</v>
      </c>
      <c r="I11" s="97">
        <f t="shared" si="6"/>
        <v>-0.1666666667</v>
      </c>
      <c r="J11" s="97">
        <f t="shared" si="7"/>
        <v>-0.46827456</v>
      </c>
      <c r="L11" s="105" t="s">
        <v>45</v>
      </c>
      <c r="M11" s="106" t="s">
        <v>46</v>
      </c>
      <c r="N11" s="7"/>
      <c r="O11" s="10"/>
    </row>
    <row r="12" ht="15.75" customHeight="1">
      <c r="B12" s="17"/>
      <c r="C12" s="108">
        <v>75.0</v>
      </c>
      <c r="D12" s="97">
        <f t="shared" si="1"/>
        <v>7.5</v>
      </c>
      <c r="E12" s="97">
        <f t="shared" si="2"/>
        <v>75</v>
      </c>
      <c r="F12" s="97">
        <f t="shared" si="3"/>
        <v>83.33333333</v>
      </c>
      <c r="G12" s="97">
        <f t="shared" si="4"/>
        <v>29.97137463</v>
      </c>
      <c r="H12" s="97">
        <f t="shared" si="5"/>
        <v>35.96564955</v>
      </c>
      <c r="I12" s="97">
        <f t="shared" si="6"/>
        <v>-0.1666666667</v>
      </c>
      <c r="J12" s="97">
        <f t="shared" si="7"/>
        <v>-0.6403435045</v>
      </c>
      <c r="L12" s="105" t="s">
        <v>47</v>
      </c>
      <c r="M12" s="106" t="s">
        <v>48</v>
      </c>
      <c r="N12" s="7"/>
      <c r="O12" s="10"/>
    </row>
    <row r="13" ht="15.75" customHeight="1">
      <c r="B13" s="28"/>
      <c r="C13" s="108">
        <v>100.0</v>
      </c>
      <c r="D13" s="97">
        <f t="shared" si="1"/>
        <v>3</v>
      </c>
      <c r="E13" s="97">
        <f t="shared" si="2"/>
        <v>30</v>
      </c>
      <c r="F13" s="97">
        <f t="shared" si="3"/>
        <v>33.33333333</v>
      </c>
      <c r="G13" s="97">
        <f t="shared" si="4"/>
        <v>9.198286538</v>
      </c>
      <c r="H13" s="97">
        <f t="shared" si="5"/>
        <v>27.59485961</v>
      </c>
      <c r="I13" s="97">
        <f t="shared" si="6"/>
        <v>-0.6666666667</v>
      </c>
      <c r="J13" s="97">
        <f t="shared" si="7"/>
        <v>-0.7240514039</v>
      </c>
      <c r="L13" s="105" t="s">
        <v>49</v>
      </c>
      <c r="M13" s="106" t="s">
        <v>50</v>
      </c>
      <c r="N13" s="7"/>
      <c r="O13" s="10"/>
    </row>
    <row r="14" ht="15.75" customHeight="1">
      <c r="B14" s="109" t="s">
        <v>51</v>
      </c>
      <c r="C14" s="110">
        <v>0.0</v>
      </c>
      <c r="D14" s="97">
        <f t="shared" si="1"/>
        <v>7</v>
      </c>
      <c r="E14" s="97">
        <f t="shared" si="2"/>
        <v>70</v>
      </c>
      <c r="F14" s="97">
        <f t="shared" si="3"/>
        <v>77.77777778</v>
      </c>
      <c r="G14" s="97">
        <f t="shared" si="4"/>
        <v>78.38682827</v>
      </c>
      <c r="H14" s="97">
        <f t="shared" si="5"/>
        <v>100.7830649</v>
      </c>
      <c r="I14" s="97">
        <f t="shared" si="6"/>
        <v>-0.2222222222</v>
      </c>
      <c r="J14" s="97">
        <f t="shared" si="7"/>
        <v>0.007830649161</v>
      </c>
      <c r="K14" s="111"/>
      <c r="L14" s="98"/>
    </row>
    <row r="15" ht="15.75" customHeight="1">
      <c r="B15" s="17"/>
      <c r="C15" s="110">
        <v>25.0</v>
      </c>
      <c r="D15" s="97">
        <f t="shared" si="1"/>
        <v>8</v>
      </c>
      <c r="E15" s="97">
        <f t="shared" si="2"/>
        <v>80</v>
      </c>
      <c r="F15" s="97">
        <f t="shared" si="3"/>
        <v>88.88888889</v>
      </c>
      <c r="G15" s="97">
        <f t="shared" si="4"/>
        <v>80.53271616</v>
      </c>
      <c r="H15" s="97">
        <f t="shared" si="5"/>
        <v>90.59930568</v>
      </c>
      <c r="I15" s="97">
        <f t="shared" si="6"/>
        <v>-0.1111111111</v>
      </c>
      <c r="J15" s="97">
        <f t="shared" si="7"/>
        <v>-0.09400694318</v>
      </c>
      <c r="K15" s="111"/>
      <c r="L15" s="98"/>
    </row>
    <row r="16" ht="15.75" customHeight="1">
      <c r="B16" s="17"/>
      <c r="C16" s="110">
        <v>50.0</v>
      </c>
      <c r="D16" s="97">
        <f t="shared" si="1"/>
        <v>6</v>
      </c>
      <c r="E16" s="97">
        <f t="shared" si="2"/>
        <v>60</v>
      </c>
      <c r="F16" s="97">
        <f t="shared" si="3"/>
        <v>66.66666667</v>
      </c>
      <c r="G16" s="97">
        <f t="shared" si="4"/>
        <v>45.47576994</v>
      </c>
      <c r="H16" s="97">
        <f t="shared" si="5"/>
        <v>68.21365491</v>
      </c>
      <c r="I16" s="97">
        <f t="shared" si="6"/>
        <v>-0.3333333333</v>
      </c>
      <c r="J16" s="97">
        <f t="shared" si="7"/>
        <v>-0.3178634509</v>
      </c>
      <c r="K16" s="111"/>
      <c r="L16" s="98"/>
    </row>
    <row r="17" ht="15.75" customHeight="1">
      <c r="B17" s="17"/>
      <c r="C17" s="110">
        <v>75.0</v>
      </c>
      <c r="D17" s="97">
        <f t="shared" si="1"/>
        <v>7</v>
      </c>
      <c r="E17" s="97">
        <f t="shared" si="2"/>
        <v>70</v>
      </c>
      <c r="F17" s="97">
        <f t="shared" si="3"/>
        <v>77.77777778</v>
      </c>
      <c r="G17" s="97">
        <f t="shared" si="4"/>
        <v>37.90933268</v>
      </c>
      <c r="H17" s="97">
        <f t="shared" si="5"/>
        <v>48.74057059</v>
      </c>
      <c r="I17" s="97">
        <f t="shared" si="6"/>
        <v>-0.2222222222</v>
      </c>
      <c r="J17" s="97">
        <f t="shared" si="7"/>
        <v>-0.5125942941</v>
      </c>
      <c r="K17" s="111"/>
      <c r="L17" s="98"/>
    </row>
    <row r="18" ht="15.75" customHeight="1">
      <c r="B18" s="28"/>
      <c r="C18" s="110">
        <v>100.0</v>
      </c>
      <c r="D18" s="97">
        <f t="shared" si="1"/>
        <v>7.5</v>
      </c>
      <c r="E18" s="97">
        <f t="shared" si="2"/>
        <v>75</v>
      </c>
      <c r="F18" s="97">
        <f t="shared" si="3"/>
        <v>83.33333333</v>
      </c>
      <c r="G18" s="97">
        <f t="shared" si="4"/>
        <v>23.90929208</v>
      </c>
      <c r="H18" s="97">
        <f t="shared" si="5"/>
        <v>28.6911505</v>
      </c>
      <c r="I18" s="97">
        <f t="shared" si="6"/>
        <v>-0.1666666667</v>
      </c>
      <c r="J18" s="97">
        <f t="shared" si="7"/>
        <v>-0.713088495</v>
      </c>
      <c r="K18" s="111"/>
      <c r="L18" s="98"/>
    </row>
    <row r="19" ht="15.75" customHeight="1">
      <c r="B19" s="112" t="s">
        <v>7</v>
      </c>
      <c r="C19" s="113">
        <v>0.0</v>
      </c>
      <c r="D19" s="97">
        <f t="shared" si="1"/>
        <v>8</v>
      </c>
      <c r="E19" s="97">
        <f t="shared" si="2"/>
        <v>80</v>
      </c>
      <c r="F19" s="97">
        <f t="shared" si="3"/>
        <v>88.88888889</v>
      </c>
      <c r="G19" s="97">
        <f t="shared" si="4"/>
        <v>83.87031285</v>
      </c>
      <c r="H19" s="97">
        <f t="shared" si="5"/>
        <v>94.35410196</v>
      </c>
      <c r="I19" s="97">
        <f t="shared" si="6"/>
        <v>-0.1111111111</v>
      </c>
      <c r="J19" s="97">
        <f t="shared" si="7"/>
        <v>-0.05645898045</v>
      </c>
      <c r="K19" s="111"/>
      <c r="L19" s="98"/>
    </row>
    <row r="20" ht="15.75" customHeight="1">
      <c r="B20" s="17"/>
      <c r="C20" s="113">
        <v>25.0</v>
      </c>
      <c r="D20" s="97">
        <f t="shared" si="1"/>
        <v>8.5</v>
      </c>
      <c r="E20" s="97">
        <f t="shared" si="2"/>
        <v>85</v>
      </c>
      <c r="F20" s="97">
        <f t="shared" si="3"/>
        <v>94.44444444</v>
      </c>
      <c r="G20" s="97">
        <f t="shared" si="4"/>
        <v>84.81231094</v>
      </c>
      <c r="H20" s="97">
        <f t="shared" si="5"/>
        <v>89.80127041</v>
      </c>
      <c r="I20" s="97">
        <f t="shared" si="6"/>
        <v>-0.05555555556</v>
      </c>
      <c r="J20" s="97">
        <f t="shared" si="7"/>
        <v>-0.1019872959</v>
      </c>
      <c r="K20" s="111"/>
      <c r="L20" s="98"/>
    </row>
    <row r="21" ht="15.75" customHeight="1">
      <c r="B21" s="17"/>
      <c r="C21" s="113">
        <v>50.0</v>
      </c>
      <c r="D21" s="97">
        <f t="shared" si="1"/>
        <v>7.5</v>
      </c>
      <c r="E21" s="97">
        <f t="shared" si="2"/>
        <v>75</v>
      </c>
      <c r="F21" s="97">
        <f t="shared" si="3"/>
        <v>83.33333333</v>
      </c>
      <c r="G21" s="97">
        <f t="shared" si="4"/>
        <v>43.39281726</v>
      </c>
      <c r="H21" s="97">
        <f t="shared" si="5"/>
        <v>52.07138072</v>
      </c>
      <c r="I21" s="97">
        <f t="shared" si="6"/>
        <v>-0.1666666667</v>
      </c>
      <c r="J21" s="97">
        <f t="shared" si="7"/>
        <v>-0.4792861928</v>
      </c>
    </row>
    <row r="22" ht="15.75" customHeight="1">
      <c r="B22" s="17"/>
      <c r="C22" s="113">
        <v>75.0</v>
      </c>
      <c r="D22" s="97">
        <f t="shared" si="1"/>
        <v>10</v>
      </c>
      <c r="E22" s="97">
        <f t="shared" si="2"/>
        <v>100</v>
      </c>
      <c r="F22" s="97">
        <f t="shared" si="3"/>
        <v>111.1111111</v>
      </c>
      <c r="G22" s="97">
        <f t="shared" si="4"/>
        <v>46.97606432</v>
      </c>
      <c r="H22" s="97">
        <f t="shared" si="5"/>
        <v>42.27845788</v>
      </c>
      <c r="I22" s="97">
        <f t="shared" si="6"/>
        <v>0.1111111111</v>
      </c>
      <c r="J22" s="97">
        <f t="shared" si="7"/>
        <v>-0.5772154212</v>
      </c>
    </row>
    <row r="23" ht="15.75" customHeight="1">
      <c r="B23" s="28"/>
      <c r="C23" s="113">
        <v>100.0</v>
      </c>
      <c r="D23" s="97">
        <f t="shared" si="1"/>
        <v>6.5</v>
      </c>
      <c r="E23" s="97">
        <f t="shared" si="2"/>
        <v>65</v>
      </c>
      <c r="F23" s="97">
        <f t="shared" si="3"/>
        <v>72.22222222</v>
      </c>
      <c r="G23" s="97">
        <f t="shared" si="4"/>
        <v>16.39766937</v>
      </c>
      <c r="H23" s="97">
        <f t="shared" si="5"/>
        <v>22.70446528</v>
      </c>
      <c r="I23" s="97">
        <f t="shared" si="6"/>
        <v>-0.2777777778</v>
      </c>
      <c r="J23" s="97">
        <f t="shared" si="7"/>
        <v>-0.7729553472</v>
      </c>
    </row>
    <row r="24" ht="15.75" customHeight="1">
      <c r="B24" s="114" t="s">
        <v>52</v>
      </c>
      <c r="C24" s="10"/>
      <c r="D24" s="97">
        <f>'Dia 14'!G35</f>
        <v>9</v>
      </c>
      <c r="E24" s="97">
        <f>'Dia 14'!I35</f>
        <v>90</v>
      </c>
      <c r="F24" s="97">
        <f>'Dia 14'!K35</f>
        <v>100</v>
      </c>
      <c r="G24" s="97">
        <f>'Dia 14'!O35</f>
        <v>100</v>
      </c>
      <c r="H24" s="97">
        <f>'Dia 14'!M35</f>
        <v>100</v>
      </c>
      <c r="I24" s="123">
        <f>'Dia 14'!Q35</f>
        <v>0</v>
      </c>
      <c r="J24" s="123">
        <f>'Dia 14'!S35</f>
        <v>0</v>
      </c>
    </row>
    <row r="25" ht="15.75" customHeight="1">
      <c r="B25" s="114" t="s">
        <v>11</v>
      </c>
      <c r="C25" s="10"/>
      <c r="D25" s="97">
        <f>'Dia 14'!G41</f>
        <v>8.5</v>
      </c>
      <c r="E25" s="97">
        <f>'Dia 14'!I41</f>
        <v>85</v>
      </c>
      <c r="F25" s="97">
        <f>'Dia 14'!K41</f>
        <v>94.44444444</v>
      </c>
      <c r="G25" s="97">
        <f>'Dia 14'!O41</f>
        <v>8.285116836</v>
      </c>
      <c r="H25" s="97">
        <f>'Dia 14'!M41</f>
        <v>8.77247665</v>
      </c>
      <c r="I25" s="122">
        <f>'Dia 14'!Q41</f>
        <v>-0.05555555556</v>
      </c>
      <c r="J25" s="122">
        <f>'Dia 14'!S41</f>
        <v>-0.9122752335</v>
      </c>
    </row>
    <row r="26" ht="15.75" customHeight="1">
      <c r="B26" s="117"/>
      <c r="H26" s="118"/>
    </row>
    <row r="27" ht="15.75" customHeight="1">
      <c r="B27" s="117"/>
      <c r="H27" s="118"/>
    </row>
    <row r="28" ht="15.75" customHeight="1">
      <c r="H28" s="118"/>
    </row>
    <row r="29" ht="15.75" customHeight="1">
      <c r="H29" s="118"/>
    </row>
    <row r="30" ht="15.75" customHeight="1">
      <c r="H30" s="118"/>
    </row>
    <row r="31" ht="15.75" customHeight="1">
      <c r="H31" s="118"/>
    </row>
    <row r="32" ht="15.75" customHeight="1">
      <c r="H32" s="118"/>
    </row>
    <row r="33" ht="15.75" customHeight="1">
      <c r="H33" s="118"/>
    </row>
    <row r="34" ht="15.75" customHeight="1">
      <c r="H34" s="118"/>
    </row>
    <row r="35" ht="15.75" customHeight="1">
      <c r="H35" s="118"/>
    </row>
    <row r="36" ht="15.75" customHeight="1">
      <c r="H36" s="118"/>
    </row>
    <row r="37" ht="15.75" customHeight="1">
      <c r="H37" s="118"/>
    </row>
    <row r="38" ht="15.75" customHeight="1">
      <c r="H38" s="118"/>
    </row>
    <row r="39" ht="15.75" customHeight="1">
      <c r="H39" s="118"/>
    </row>
    <row r="40" ht="15.75" customHeight="1">
      <c r="H40" s="118"/>
    </row>
    <row r="41" ht="15.75" customHeight="1">
      <c r="H41" s="118"/>
    </row>
    <row r="42" ht="15.75" customHeight="1">
      <c r="H42" s="118"/>
    </row>
    <row r="43" ht="15.75" customHeight="1">
      <c r="H43" s="118"/>
    </row>
    <row r="44" ht="15.75" customHeight="1">
      <c r="H44" s="118"/>
    </row>
    <row r="45" ht="15.75" customHeight="1">
      <c r="H45" s="118"/>
    </row>
    <row r="46" ht="15.75" customHeight="1">
      <c r="H46" s="118"/>
    </row>
    <row r="47" ht="15.75" customHeight="1">
      <c r="H47" s="118"/>
    </row>
    <row r="48" ht="15.75" customHeight="1">
      <c r="H48" s="118"/>
    </row>
    <row r="49" ht="15.75" customHeight="1">
      <c r="H49" s="118"/>
    </row>
    <row r="50" ht="15.75" customHeight="1">
      <c r="H50" s="118"/>
    </row>
    <row r="51" ht="15.75" customHeight="1">
      <c r="H51" s="118"/>
    </row>
    <row r="52" ht="15.75" customHeight="1">
      <c r="H52" s="118"/>
    </row>
    <row r="53" ht="15.75" customHeight="1">
      <c r="H53" s="118"/>
    </row>
    <row r="54" ht="15.75" customHeight="1">
      <c r="H54" s="118"/>
    </row>
    <row r="55" ht="15.75" customHeight="1">
      <c r="H55" s="118"/>
    </row>
    <row r="56" ht="15.75" customHeight="1">
      <c r="H56" s="118"/>
    </row>
    <row r="57" ht="15.75" customHeight="1">
      <c r="H57" s="118"/>
    </row>
    <row r="58" ht="15.75" customHeight="1">
      <c r="H58" s="118"/>
    </row>
    <row r="59" ht="15.75" customHeight="1">
      <c r="H59" s="118"/>
    </row>
    <row r="60" ht="15.75" customHeight="1">
      <c r="H60" s="118"/>
    </row>
    <row r="61" ht="15.75" customHeight="1">
      <c r="H61" s="118"/>
    </row>
    <row r="62" ht="15.75" customHeight="1">
      <c r="H62" s="118"/>
    </row>
    <row r="63" ht="15.75" customHeight="1">
      <c r="H63" s="118"/>
    </row>
    <row r="64" ht="15.75" customHeight="1">
      <c r="H64" s="118"/>
    </row>
    <row r="65" ht="15.75" customHeight="1">
      <c r="H65" s="118"/>
    </row>
    <row r="66" ht="15.75" customHeight="1">
      <c r="H66" s="118"/>
    </row>
    <row r="67" ht="15.75" customHeight="1">
      <c r="H67" s="118"/>
    </row>
    <row r="68" ht="15.75" customHeight="1">
      <c r="H68" s="118"/>
    </row>
    <row r="69" ht="15.75" customHeight="1">
      <c r="H69" s="118"/>
    </row>
    <row r="70" ht="15.75" customHeight="1">
      <c r="H70" s="118"/>
    </row>
    <row r="71" ht="15.75" customHeight="1">
      <c r="H71" s="118"/>
    </row>
    <row r="72" ht="15.75" customHeight="1">
      <c r="H72" s="118"/>
    </row>
    <row r="73" ht="15.75" customHeight="1">
      <c r="H73" s="118"/>
    </row>
    <row r="74" ht="15.75" customHeight="1">
      <c r="H74" s="118"/>
    </row>
    <row r="75" ht="15.75" customHeight="1">
      <c r="H75" s="118"/>
    </row>
    <row r="76" ht="15.75" customHeight="1">
      <c r="H76" s="118"/>
    </row>
    <row r="77" ht="15.75" customHeight="1">
      <c r="H77" s="118"/>
    </row>
    <row r="78" ht="15.75" customHeight="1">
      <c r="H78" s="118"/>
    </row>
    <row r="79" ht="15.75" customHeight="1">
      <c r="H79" s="118"/>
    </row>
    <row r="80" ht="15.75" customHeight="1">
      <c r="H80" s="118"/>
    </row>
    <row r="81" ht="15.75" customHeight="1">
      <c r="H81" s="118"/>
    </row>
    <row r="82" ht="15.75" customHeight="1">
      <c r="H82" s="118"/>
    </row>
    <row r="83" ht="15.75" customHeight="1">
      <c r="H83" s="118"/>
    </row>
    <row r="84" ht="15.75" customHeight="1">
      <c r="H84" s="118"/>
    </row>
    <row r="85" ht="15.75" customHeight="1">
      <c r="H85" s="118"/>
    </row>
    <row r="86" ht="15.75" customHeight="1">
      <c r="H86" s="118"/>
    </row>
    <row r="87" ht="15.75" customHeight="1">
      <c r="H87" s="118"/>
    </row>
    <row r="88" ht="15.75" customHeight="1">
      <c r="H88" s="118"/>
    </row>
    <row r="89" ht="15.75" customHeight="1">
      <c r="H89" s="118"/>
    </row>
    <row r="90" ht="15.75" customHeight="1">
      <c r="H90" s="118"/>
    </row>
    <row r="91" ht="15.75" customHeight="1">
      <c r="H91" s="118"/>
    </row>
    <row r="92" ht="15.75" customHeight="1">
      <c r="H92" s="118"/>
    </row>
    <row r="93" ht="15.75" customHeight="1">
      <c r="H93" s="118"/>
    </row>
    <row r="94" ht="15.75" customHeight="1">
      <c r="H94" s="118"/>
    </row>
    <row r="95" ht="15.75" customHeight="1">
      <c r="H95" s="118"/>
    </row>
    <row r="96" ht="15.75" customHeight="1">
      <c r="H96" s="118"/>
    </row>
    <row r="97" ht="15.75" customHeight="1">
      <c r="H97" s="118"/>
    </row>
    <row r="98" ht="15.75" customHeight="1">
      <c r="H98" s="118"/>
    </row>
    <row r="99" ht="15.75" customHeight="1">
      <c r="H99" s="118"/>
    </row>
    <row r="100" ht="15.75" customHeight="1">
      <c r="H100" s="118"/>
    </row>
    <row r="101" ht="15.75" customHeight="1">
      <c r="H101" s="118"/>
    </row>
    <row r="102" ht="15.75" customHeight="1">
      <c r="H102" s="118"/>
    </row>
    <row r="103" ht="15.75" customHeight="1">
      <c r="H103" s="118"/>
    </row>
    <row r="104" ht="15.75" customHeight="1">
      <c r="H104" s="118"/>
    </row>
    <row r="105" ht="15.75" customHeight="1">
      <c r="H105" s="118"/>
    </row>
    <row r="106" ht="15.75" customHeight="1">
      <c r="H106" s="118"/>
    </row>
    <row r="107" ht="15.75" customHeight="1">
      <c r="H107" s="118"/>
    </row>
    <row r="108" ht="15.75" customHeight="1">
      <c r="H108" s="118"/>
    </row>
    <row r="109" ht="15.75" customHeight="1">
      <c r="H109" s="118"/>
    </row>
    <row r="110" ht="15.75" customHeight="1">
      <c r="H110" s="118"/>
    </row>
    <row r="111" ht="15.75" customHeight="1">
      <c r="H111" s="118"/>
    </row>
    <row r="112" ht="15.75" customHeight="1">
      <c r="H112" s="118"/>
    </row>
    <row r="113" ht="15.75" customHeight="1">
      <c r="H113" s="118"/>
    </row>
    <row r="114" ht="15.75" customHeight="1">
      <c r="H114" s="118"/>
    </row>
    <row r="115" ht="15.75" customHeight="1">
      <c r="H115" s="118"/>
    </row>
    <row r="116" ht="15.75" customHeight="1">
      <c r="H116" s="118"/>
    </row>
    <row r="117" ht="15.75" customHeight="1">
      <c r="H117" s="118"/>
    </row>
    <row r="118" ht="15.75" customHeight="1">
      <c r="H118" s="118"/>
    </row>
    <row r="119" ht="15.75" customHeight="1">
      <c r="H119" s="118"/>
    </row>
    <row r="120" ht="15.75" customHeight="1">
      <c r="H120" s="118"/>
    </row>
    <row r="121" ht="15.75" customHeight="1">
      <c r="H121" s="118"/>
    </row>
    <row r="122" ht="15.75" customHeight="1">
      <c r="H122" s="118"/>
    </row>
    <row r="123" ht="15.75" customHeight="1">
      <c r="H123" s="118"/>
    </row>
    <row r="124" ht="15.75" customHeight="1">
      <c r="H124" s="118"/>
    </row>
    <row r="125" ht="15.75" customHeight="1">
      <c r="H125" s="118"/>
    </row>
    <row r="126" ht="15.75" customHeight="1">
      <c r="H126" s="118"/>
    </row>
    <row r="127" ht="15.75" customHeight="1">
      <c r="H127" s="118"/>
    </row>
    <row r="128" ht="15.75" customHeight="1">
      <c r="H128" s="118"/>
    </row>
    <row r="129" ht="15.75" customHeight="1">
      <c r="H129" s="118"/>
    </row>
    <row r="130" ht="15.75" customHeight="1">
      <c r="H130" s="118"/>
    </row>
    <row r="131" ht="15.75" customHeight="1">
      <c r="H131" s="118"/>
    </row>
    <row r="132" ht="15.75" customHeight="1">
      <c r="H132" s="118"/>
    </row>
    <row r="133" ht="15.75" customHeight="1">
      <c r="H133" s="118"/>
    </row>
    <row r="134" ht="15.75" customHeight="1">
      <c r="H134" s="118"/>
    </row>
    <row r="135" ht="15.75" customHeight="1">
      <c r="H135" s="118"/>
    </row>
    <row r="136" ht="15.75" customHeight="1">
      <c r="H136" s="118"/>
    </row>
    <row r="137" ht="15.75" customHeight="1">
      <c r="H137" s="118"/>
    </row>
    <row r="138" ht="15.75" customHeight="1">
      <c r="H138" s="118"/>
    </row>
    <row r="139" ht="15.75" customHeight="1">
      <c r="H139" s="118"/>
    </row>
    <row r="140" ht="15.75" customHeight="1">
      <c r="H140" s="118"/>
    </row>
    <row r="141" ht="15.75" customHeight="1">
      <c r="H141" s="118"/>
    </row>
    <row r="142" ht="15.75" customHeight="1">
      <c r="H142" s="118"/>
    </row>
    <row r="143" ht="15.75" customHeight="1">
      <c r="H143" s="118"/>
    </row>
    <row r="144" ht="15.75" customHeight="1">
      <c r="H144" s="118"/>
    </row>
    <row r="145" ht="15.75" customHeight="1">
      <c r="H145" s="118"/>
    </row>
    <row r="146" ht="15.75" customHeight="1">
      <c r="H146" s="118"/>
    </row>
    <row r="147" ht="15.75" customHeight="1">
      <c r="H147" s="118"/>
    </row>
    <row r="148" ht="15.75" customHeight="1">
      <c r="H148" s="118"/>
    </row>
    <row r="149" ht="15.75" customHeight="1">
      <c r="H149" s="118"/>
    </row>
    <row r="150" ht="15.75" customHeight="1">
      <c r="H150" s="118"/>
    </row>
    <row r="151" ht="15.75" customHeight="1">
      <c r="H151" s="118"/>
    </row>
    <row r="152" ht="15.75" customHeight="1">
      <c r="H152" s="118"/>
    </row>
    <row r="153" ht="15.75" customHeight="1">
      <c r="H153" s="118"/>
    </row>
    <row r="154" ht="15.75" customHeight="1">
      <c r="H154" s="118"/>
    </row>
    <row r="155" ht="15.75" customHeight="1">
      <c r="H155" s="118"/>
    </row>
    <row r="156" ht="15.75" customHeight="1">
      <c r="H156" s="118"/>
    </row>
    <row r="157" ht="15.75" customHeight="1">
      <c r="H157" s="118"/>
    </row>
    <row r="158" ht="15.75" customHeight="1">
      <c r="H158" s="118"/>
    </row>
    <row r="159" ht="15.75" customHeight="1">
      <c r="H159" s="118"/>
    </row>
    <row r="160" ht="15.75" customHeight="1">
      <c r="H160" s="118"/>
    </row>
    <row r="161" ht="15.75" customHeight="1">
      <c r="H161" s="118"/>
    </row>
    <row r="162" ht="15.75" customHeight="1">
      <c r="H162" s="118"/>
    </row>
    <row r="163" ht="15.75" customHeight="1">
      <c r="H163" s="118"/>
    </row>
    <row r="164" ht="15.75" customHeight="1">
      <c r="H164" s="118"/>
    </row>
    <row r="165" ht="15.75" customHeight="1">
      <c r="H165" s="118"/>
    </row>
    <row r="166" ht="15.75" customHeight="1">
      <c r="H166" s="118"/>
    </row>
    <row r="167" ht="15.75" customHeight="1">
      <c r="H167" s="118"/>
    </row>
    <row r="168" ht="15.75" customHeight="1">
      <c r="H168" s="118"/>
    </row>
    <row r="169" ht="15.75" customHeight="1">
      <c r="H169" s="118"/>
    </row>
    <row r="170" ht="15.75" customHeight="1">
      <c r="H170" s="118"/>
    </row>
    <row r="171" ht="15.75" customHeight="1">
      <c r="H171" s="118"/>
    </row>
    <row r="172" ht="15.75" customHeight="1">
      <c r="H172" s="118"/>
    </row>
    <row r="173" ht="15.75" customHeight="1">
      <c r="H173" s="118"/>
    </row>
    <row r="174" ht="15.75" customHeight="1">
      <c r="H174" s="118"/>
    </row>
    <row r="175" ht="15.75" customHeight="1">
      <c r="H175" s="118"/>
    </row>
    <row r="176" ht="15.75" customHeight="1">
      <c r="H176" s="118"/>
    </row>
    <row r="177" ht="15.75" customHeight="1">
      <c r="H177" s="118"/>
    </row>
    <row r="178" ht="15.75" customHeight="1">
      <c r="H178" s="118"/>
    </row>
    <row r="179" ht="15.75" customHeight="1">
      <c r="H179" s="118"/>
    </row>
    <row r="180" ht="15.75" customHeight="1">
      <c r="H180" s="118"/>
    </row>
    <row r="181" ht="15.75" customHeight="1">
      <c r="H181" s="118"/>
    </row>
    <row r="182" ht="15.75" customHeight="1">
      <c r="H182" s="118"/>
    </row>
    <row r="183" ht="15.75" customHeight="1">
      <c r="H183" s="118"/>
    </row>
    <row r="184" ht="15.75" customHeight="1">
      <c r="H184" s="118"/>
    </row>
    <row r="185" ht="15.75" customHeight="1">
      <c r="H185" s="118"/>
    </row>
    <row r="186" ht="15.75" customHeight="1">
      <c r="H186" s="118"/>
    </row>
    <row r="187" ht="15.75" customHeight="1">
      <c r="H187" s="118"/>
    </row>
    <row r="188" ht="15.75" customHeight="1">
      <c r="H188" s="118"/>
    </row>
    <row r="189" ht="15.75" customHeight="1">
      <c r="H189" s="118"/>
    </row>
    <row r="190" ht="15.75" customHeight="1">
      <c r="H190" s="118"/>
    </row>
    <row r="191" ht="15.75" customHeight="1">
      <c r="H191" s="118"/>
    </row>
    <row r="192" ht="15.75" customHeight="1">
      <c r="H192" s="118"/>
    </row>
    <row r="193" ht="15.75" customHeight="1">
      <c r="H193" s="118"/>
    </row>
    <row r="194" ht="15.75" customHeight="1">
      <c r="H194" s="118"/>
    </row>
    <row r="195" ht="15.75" customHeight="1">
      <c r="H195" s="118"/>
    </row>
    <row r="196" ht="15.75" customHeight="1">
      <c r="H196" s="118"/>
    </row>
    <row r="197" ht="15.75" customHeight="1">
      <c r="H197" s="118"/>
    </row>
    <row r="198" ht="15.75" customHeight="1">
      <c r="H198" s="118"/>
    </row>
    <row r="199" ht="15.75" customHeight="1">
      <c r="H199" s="118"/>
    </row>
    <row r="200" ht="15.75" customHeight="1">
      <c r="H200" s="118"/>
    </row>
    <row r="201" ht="15.75" customHeight="1">
      <c r="H201" s="118"/>
    </row>
    <row r="202" ht="15.75" customHeight="1">
      <c r="H202" s="118"/>
    </row>
    <row r="203" ht="15.75" customHeight="1">
      <c r="H203" s="118"/>
    </row>
    <row r="204" ht="15.75" customHeight="1">
      <c r="H204" s="118"/>
    </row>
    <row r="205" ht="15.75" customHeight="1">
      <c r="H205" s="118"/>
    </row>
    <row r="206" ht="15.75" customHeight="1">
      <c r="H206" s="118"/>
    </row>
    <row r="207" ht="15.75" customHeight="1">
      <c r="H207" s="118"/>
    </row>
    <row r="208" ht="15.75" customHeight="1">
      <c r="H208" s="118"/>
    </row>
    <row r="209" ht="15.75" customHeight="1">
      <c r="H209" s="118"/>
    </row>
    <row r="210" ht="15.75" customHeight="1">
      <c r="H210" s="118"/>
    </row>
    <row r="211" ht="15.75" customHeight="1">
      <c r="H211" s="118"/>
    </row>
    <row r="212" ht="15.75" customHeight="1">
      <c r="H212" s="118"/>
    </row>
    <row r="213" ht="15.75" customHeight="1">
      <c r="H213" s="118"/>
    </row>
    <row r="214" ht="15.75" customHeight="1">
      <c r="H214" s="118"/>
    </row>
    <row r="215" ht="15.75" customHeight="1">
      <c r="H215" s="118"/>
    </row>
    <row r="216" ht="15.75" customHeight="1">
      <c r="H216" s="118"/>
    </row>
    <row r="217" ht="15.75" customHeight="1">
      <c r="H217" s="118"/>
    </row>
    <row r="218" ht="15.75" customHeight="1">
      <c r="H218" s="118"/>
    </row>
    <row r="219" ht="15.75" customHeight="1">
      <c r="H219" s="118"/>
    </row>
    <row r="220" ht="15.75" customHeight="1">
      <c r="H220" s="118"/>
    </row>
    <row r="221" ht="15.75" customHeight="1">
      <c r="H221" s="118"/>
    </row>
    <row r="222" ht="15.75" customHeight="1">
      <c r="H222" s="118"/>
    </row>
    <row r="223" ht="15.75" customHeight="1">
      <c r="H223" s="118"/>
    </row>
    <row r="224" ht="15.75" customHeight="1">
      <c r="H224" s="118"/>
    </row>
    <row r="225" ht="15.75" customHeight="1">
      <c r="H225" s="118"/>
    </row>
    <row r="226" ht="15.75" customHeight="1">
      <c r="H226" s="118"/>
    </row>
    <row r="227" ht="15.75" customHeight="1">
      <c r="H227" s="118"/>
    </row>
    <row r="228" ht="15.75" customHeight="1">
      <c r="H228" s="118"/>
    </row>
    <row r="229" ht="15.75" customHeight="1">
      <c r="H229" s="118"/>
    </row>
    <row r="230" ht="15.75" customHeight="1">
      <c r="H230" s="118"/>
    </row>
    <row r="231" ht="15.75" customHeight="1">
      <c r="H231" s="118"/>
    </row>
    <row r="232" ht="15.75" customHeight="1">
      <c r="H232" s="118"/>
    </row>
    <row r="233" ht="15.75" customHeight="1">
      <c r="H233" s="118"/>
    </row>
    <row r="234" ht="15.75" customHeight="1">
      <c r="H234" s="118"/>
    </row>
    <row r="235" ht="15.75" customHeight="1">
      <c r="H235" s="118"/>
    </row>
    <row r="236" ht="15.75" customHeight="1">
      <c r="H236" s="118"/>
    </row>
    <row r="237" ht="15.75" customHeight="1">
      <c r="H237" s="118"/>
    </row>
    <row r="238" ht="15.75" customHeight="1">
      <c r="H238" s="118"/>
    </row>
    <row r="239" ht="15.75" customHeight="1">
      <c r="H239" s="118"/>
    </row>
    <row r="240" ht="15.75" customHeight="1">
      <c r="H240" s="118"/>
    </row>
    <row r="241" ht="15.75" customHeight="1">
      <c r="H241" s="118"/>
    </row>
    <row r="242" ht="15.75" customHeight="1">
      <c r="H242" s="118"/>
    </row>
    <row r="243" ht="15.75" customHeight="1">
      <c r="H243" s="118"/>
    </row>
    <row r="244" ht="15.75" customHeight="1">
      <c r="H244" s="118"/>
    </row>
    <row r="245" ht="15.75" customHeight="1">
      <c r="H245" s="118"/>
    </row>
    <row r="246" ht="15.75" customHeight="1">
      <c r="H246" s="118"/>
    </row>
    <row r="247" ht="15.75" customHeight="1">
      <c r="H247" s="118"/>
    </row>
    <row r="248" ht="15.75" customHeight="1">
      <c r="H248" s="118"/>
    </row>
    <row r="249" ht="15.75" customHeight="1">
      <c r="H249" s="118"/>
    </row>
    <row r="250" ht="15.75" customHeight="1">
      <c r="H250" s="118"/>
    </row>
    <row r="251" ht="15.75" customHeight="1">
      <c r="H251" s="118"/>
    </row>
    <row r="252" ht="15.75" customHeight="1">
      <c r="H252" s="118"/>
    </row>
    <row r="253" ht="15.75" customHeight="1">
      <c r="H253" s="118"/>
    </row>
    <row r="254" ht="15.75" customHeight="1">
      <c r="H254" s="118"/>
    </row>
    <row r="255" ht="15.75" customHeight="1">
      <c r="H255" s="118"/>
    </row>
    <row r="256" ht="15.75" customHeight="1">
      <c r="H256" s="118"/>
    </row>
    <row r="257" ht="15.75" customHeight="1">
      <c r="H257" s="118"/>
    </row>
    <row r="258" ht="15.75" customHeight="1">
      <c r="H258" s="118"/>
    </row>
    <row r="259" ht="15.75" customHeight="1">
      <c r="H259" s="118"/>
    </row>
    <row r="260" ht="15.75" customHeight="1">
      <c r="H260" s="118"/>
    </row>
    <row r="261" ht="15.75" customHeight="1">
      <c r="H261" s="118"/>
    </row>
    <row r="262" ht="15.75" customHeight="1">
      <c r="H262" s="118"/>
    </row>
    <row r="263" ht="15.75" customHeight="1">
      <c r="H263" s="118"/>
    </row>
    <row r="264" ht="15.75" customHeight="1">
      <c r="H264" s="118"/>
    </row>
    <row r="265" ht="15.75" customHeight="1">
      <c r="H265" s="118"/>
    </row>
    <row r="266" ht="15.75" customHeight="1">
      <c r="H266" s="118"/>
    </row>
    <row r="267" ht="15.75" customHeight="1">
      <c r="H267" s="118"/>
    </row>
    <row r="268" ht="15.75" customHeight="1">
      <c r="H268" s="118"/>
    </row>
    <row r="269" ht="15.75" customHeight="1">
      <c r="H269" s="118"/>
    </row>
    <row r="270" ht="15.75" customHeight="1">
      <c r="H270" s="118"/>
    </row>
    <row r="271" ht="15.75" customHeight="1">
      <c r="H271" s="118"/>
    </row>
    <row r="272" ht="15.75" customHeight="1">
      <c r="H272" s="118"/>
    </row>
    <row r="273" ht="15.75" customHeight="1">
      <c r="H273" s="118"/>
    </row>
    <row r="274" ht="15.75" customHeight="1">
      <c r="H274" s="118"/>
    </row>
    <row r="275" ht="15.75" customHeight="1">
      <c r="H275" s="118"/>
    </row>
    <row r="276" ht="15.75" customHeight="1">
      <c r="H276" s="118"/>
    </row>
    <row r="277" ht="15.75" customHeight="1">
      <c r="H277" s="118"/>
    </row>
    <row r="278" ht="15.75" customHeight="1">
      <c r="H278" s="118"/>
    </row>
    <row r="279" ht="15.75" customHeight="1">
      <c r="H279" s="118"/>
    </row>
    <row r="280" ht="15.75" customHeight="1">
      <c r="H280" s="118"/>
    </row>
    <row r="281" ht="15.75" customHeight="1">
      <c r="H281" s="118"/>
    </row>
    <row r="282" ht="15.75" customHeight="1">
      <c r="H282" s="118"/>
    </row>
    <row r="283" ht="15.75" customHeight="1">
      <c r="H283" s="118"/>
    </row>
    <row r="284" ht="15.75" customHeight="1">
      <c r="H284" s="118"/>
    </row>
    <row r="285" ht="15.75" customHeight="1">
      <c r="H285" s="118"/>
    </row>
    <row r="286" ht="15.75" customHeight="1">
      <c r="H286" s="118"/>
    </row>
    <row r="287" ht="15.75" customHeight="1">
      <c r="H287" s="118"/>
    </row>
    <row r="288" ht="15.75" customHeight="1">
      <c r="H288" s="118"/>
    </row>
    <row r="289" ht="15.75" customHeight="1">
      <c r="H289" s="118"/>
    </row>
    <row r="290" ht="15.75" customHeight="1">
      <c r="H290" s="118"/>
    </row>
    <row r="291" ht="15.75" customHeight="1">
      <c r="H291" s="118"/>
    </row>
    <row r="292" ht="15.75" customHeight="1">
      <c r="H292" s="118"/>
    </row>
    <row r="293" ht="15.75" customHeight="1">
      <c r="H293" s="118"/>
    </row>
    <row r="294" ht="15.75" customHeight="1">
      <c r="H294" s="118"/>
    </row>
    <row r="295" ht="15.75" customHeight="1">
      <c r="H295" s="118"/>
    </row>
    <row r="296" ht="15.75" customHeight="1">
      <c r="H296" s="118"/>
    </row>
    <row r="297" ht="15.75" customHeight="1">
      <c r="H297" s="118"/>
    </row>
    <row r="298" ht="15.75" customHeight="1">
      <c r="H298" s="118"/>
    </row>
    <row r="299" ht="15.75" customHeight="1">
      <c r="H299" s="118"/>
    </row>
    <row r="300" ht="15.75" customHeight="1">
      <c r="H300" s="118"/>
    </row>
    <row r="301" ht="15.75" customHeight="1">
      <c r="H301" s="118"/>
    </row>
    <row r="302" ht="15.75" customHeight="1">
      <c r="H302" s="118"/>
    </row>
    <row r="303" ht="15.75" customHeight="1">
      <c r="H303" s="118"/>
    </row>
    <row r="304" ht="15.75" customHeight="1">
      <c r="H304" s="118"/>
    </row>
    <row r="305" ht="15.75" customHeight="1">
      <c r="H305" s="118"/>
    </row>
    <row r="306" ht="15.75" customHeight="1">
      <c r="H306" s="118"/>
    </row>
    <row r="307" ht="15.75" customHeight="1">
      <c r="H307" s="118"/>
    </row>
    <row r="308" ht="15.75" customHeight="1">
      <c r="H308" s="118"/>
    </row>
    <row r="309" ht="15.75" customHeight="1">
      <c r="H309" s="118"/>
    </row>
    <row r="310" ht="15.75" customHeight="1">
      <c r="H310" s="118"/>
    </row>
    <row r="311" ht="15.75" customHeight="1">
      <c r="H311" s="118"/>
    </row>
    <row r="312" ht="15.75" customHeight="1">
      <c r="H312" s="118"/>
    </row>
    <row r="313" ht="15.75" customHeight="1">
      <c r="H313" s="118"/>
    </row>
    <row r="314" ht="15.75" customHeight="1">
      <c r="H314" s="118"/>
    </row>
    <row r="315" ht="15.75" customHeight="1">
      <c r="H315" s="118"/>
    </row>
    <row r="316" ht="15.75" customHeight="1">
      <c r="H316" s="118"/>
    </row>
    <row r="317" ht="15.75" customHeight="1">
      <c r="H317" s="118"/>
    </row>
    <row r="318" ht="15.75" customHeight="1">
      <c r="H318" s="118"/>
    </row>
    <row r="319" ht="15.75" customHeight="1">
      <c r="H319" s="118"/>
    </row>
    <row r="320" ht="15.75" customHeight="1">
      <c r="H320" s="118"/>
    </row>
    <row r="321" ht="15.75" customHeight="1">
      <c r="H321" s="118"/>
    </row>
    <row r="322" ht="15.75" customHeight="1">
      <c r="H322" s="118"/>
    </row>
    <row r="323" ht="15.75" customHeight="1">
      <c r="H323" s="118"/>
    </row>
    <row r="324" ht="15.75" customHeight="1">
      <c r="H324" s="118"/>
    </row>
    <row r="325" ht="15.75" customHeight="1">
      <c r="H325" s="118"/>
    </row>
    <row r="326" ht="15.75" customHeight="1">
      <c r="H326" s="118"/>
    </row>
    <row r="327" ht="15.75" customHeight="1">
      <c r="H327" s="118"/>
    </row>
    <row r="328" ht="15.75" customHeight="1">
      <c r="H328" s="118"/>
    </row>
    <row r="329" ht="15.75" customHeight="1">
      <c r="H329" s="118"/>
    </row>
    <row r="330" ht="15.75" customHeight="1">
      <c r="H330" s="118"/>
    </row>
    <row r="331" ht="15.75" customHeight="1">
      <c r="H331" s="118"/>
    </row>
    <row r="332" ht="15.75" customHeight="1">
      <c r="H332" s="118"/>
    </row>
    <row r="333" ht="15.75" customHeight="1">
      <c r="H333" s="118"/>
    </row>
    <row r="334" ht="15.75" customHeight="1">
      <c r="H334" s="118"/>
    </row>
    <row r="335" ht="15.75" customHeight="1">
      <c r="H335" s="118"/>
    </row>
    <row r="336" ht="15.75" customHeight="1">
      <c r="H336" s="118"/>
    </row>
    <row r="337" ht="15.75" customHeight="1">
      <c r="H337" s="118"/>
    </row>
    <row r="338" ht="15.75" customHeight="1">
      <c r="H338" s="118"/>
    </row>
    <row r="339" ht="15.75" customHeight="1">
      <c r="H339" s="118"/>
    </row>
    <row r="340" ht="15.75" customHeight="1">
      <c r="H340" s="118"/>
    </row>
    <row r="341" ht="15.75" customHeight="1">
      <c r="H341" s="118"/>
    </row>
    <row r="342" ht="15.75" customHeight="1">
      <c r="H342" s="118"/>
    </row>
    <row r="343" ht="15.75" customHeight="1">
      <c r="H343" s="118"/>
    </row>
    <row r="344" ht="15.75" customHeight="1">
      <c r="H344" s="118"/>
    </row>
    <row r="345" ht="15.75" customHeight="1">
      <c r="H345" s="118"/>
    </row>
    <row r="346" ht="15.75" customHeight="1">
      <c r="H346" s="118"/>
    </row>
    <row r="347" ht="15.75" customHeight="1">
      <c r="H347" s="118"/>
    </row>
    <row r="348" ht="15.75" customHeight="1">
      <c r="H348" s="118"/>
    </row>
    <row r="349" ht="15.75" customHeight="1">
      <c r="H349" s="118"/>
    </row>
    <row r="350" ht="15.75" customHeight="1">
      <c r="H350" s="118"/>
    </row>
    <row r="351" ht="15.75" customHeight="1">
      <c r="H351" s="118"/>
    </row>
    <row r="352" ht="15.75" customHeight="1">
      <c r="H352" s="118"/>
    </row>
    <row r="353" ht="15.75" customHeight="1">
      <c r="H353" s="118"/>
    </row>
    <row r="354" ht="15.75" customHeight="1">
      <c r="H354" s="118"/>
    </row>
    <row r="355" ht="15.75" customHeight="1">
      <c r="H355" s="118"/>
    </row>
    <row r="356" ht="15.75" customHeight="1">
      <c r="H356" s="118"/>
    </row>
    <row r="357" ht="15.75" customHeight="1">
      <c r="H357" s="118"/>
    </row>
    <row r="358" ht="15.75" customHeight="1">
      <c r="H358" s="118"/>
    </row>
    <row r="359" ht="15.75" customHeight="1">
      <c r="H359" s="118"/>
    </row>
    <row r="360" ht="15.75" customHeight="1">
      <c r="H360" s="118"/>
    </row>
    <row r="361" ht="15.75" customHeight="1">
      <c r="H361" s="118"/>
    </row>
    <row r="362" ht="15.75" customHeight="1">
      <c r="H362" s="118"/>
    </row>
    <row r="363" ht="15.75" customHeight="1">
      <c r="H363" s="118"/>
    </row>
    <row r="364" ht="15.75" customHeight="1">
      <c r="H364" s="118"/>
    </row>
    <row r="365" ht="15.75" customHeight="1">
      <c r="H365" s="118"/>
    </row>
    <row r="366" ht="15.75" customHeight="1">
      <c r="H366" s="118"/>
    </row>
    <row r="367" ht="15.75" customHeight="1">
      <c r="H367" s="118"/>
    </row>
    <row r="368" ht="15.75" customHeight="1">
      <c r="H368" s="118"/>
    </row>
    <row r="369" ht="15.75" customHeight="1">
      <c r="H369" s="118"/>
    </row>
    <row r="370" ht="15.75" customHeight="1">
      <c r="H370" s="118"/>
    </row>
    <row r="371" ht="15.75" customHeight="1">
      <c r="H371" s="118"/>
    </row>
    <row r="372" ht="15.75" customHeight="1">
      <c r="H372" s="118"/>
    </row>
    <row r="373" ht="15.75" customHeight="1">
      <c r="H373" s="118"/>
    </row>
    <row r="374" ht="15.75" customHeight="1">
      <c r="H374" s="118"/>
    </row>
    <row r="375" ht="15.75" customHeight="1">
      <c r="H375" s="118"/>
    </row>
    <row r="376" ht="15.75" customHeight="1">
      <c r="H376" s="118"/>
    </row>
    <row r="377" ht="15.75" customHeight="1">
      <c r="H377" s="118"/>
    </row>
    <row r="378" ht="15.75" customHeight="1">
      <c r="H378" s="118"/>
    </row>
    <row r="379" ht="15.75" customHeight="1">
      <c r="H379" s="118"/>
    </row>
    <row r="380" ht="15.75" customHeight="1">
      <c r="H380" s="118"/>
    </row>
    <row r="381" ht="15.75" customHeight="1">
      <c r="H381" s="118"/>
    </row>
    <row r="382" ht="15.75" customHeight="1">
      <c r="H382" s="118"/>
    </row>
    <row r="383" ht="15.75" customHeight="1">
      <c r="H383" s="118"/>
    </row>
    <row r="384" ht="15.75" customHeight="1">
      <c r="H384" s="118"/>
    </row>
    <row r="385" ht="15.75" customHeight="1">
      <c r="H385" s="118"/>
    </row>
    <row r="386" ht="15.75" customHeight="1">
      <c r="H386" s="118"/>
    </row>
    <row r="387" ht="15.75" customHeight="1">
      <c r="H387" s="118"/>
    </row>
    <row r="388" ht="15.75" customHeight="1">
      <c r="H388" s="118"/>
    </row>
    <row r="389" ht="15.75" customHeight="1">
      <c r="H389" s="118"/>
    </row>
    <row r="390" ht="15.75" customHeight="1">
      <c r="H390" s="118"/>
    </row>
    <row r="391" ht="15.75" customHeight="1">
      <c r="H391" s="118"/>
    </row>
    <row r="392" ht="15.75" customHeight="1">
      <c r="H392" s="118"/>
    </row>
    <row r="393" ht="15.75" customHeight="1">
      <c r="H393" s="118"/>
    </row>
    <row r="394" ht="15.75" customHeight="1">
      <c r="H394" s="118"/>
    </row>
    <row r="395" ht="15.75" customHeight="1">
      <c r="H395" s="118"/>
    </row>
    <row r="396" ht="15.75" customHeight="1">
      <c r="H396" s="118"/>
    </row>
    <row r="397" ht="15.75" customHeight="1">
      <c r="H397" s="118"/>
    </row>
    <row r="398" ht="15.75" customHeight="1">
      <c r="H398" s="118"/>
    </row>
    <row r="399" ht="15.75" customHeight="1">
      <c r="H399" s="118"/>
    </row>
    <row r="400" ht="15.75" customHeight="1">
      <c r="H400" s="118"/>
    </row>
    <row r="401" ht="15.75" customHeight="1">
      <c r="H401" s="118"/>
    </row>
    <row r="402" ht="15.75" customHeight="1">
      <c r="H402" s="118"/>
    </row>
    <row r="403" ht="15.75" customHeight="1">
      <c r="H403" s="118"/>
    </row>
    <row r="404" ht="15.75" customHeight="1">
      <c r="H404" s="118"/>
    </row>
    <row r="405" ht="15.75" customHeight="1">
      <c r="H405" s="118"/>
    </row>
    <row r="406" ht="15.75" customHeight="1">
      <c r="H406" s="118"/>
    </row>
    <row r="407" ht="15.75" customHeight="1">
      <c r="H407" s="118"/>
    </row>
    <row r="408" ht="15.75" customHeight="1">
      <c r="H408" s="118"/>
    </row>
    <row r="409" ht="15.75" customHeight="1">
      <c r="H409" s="118"/>
    </row>
    <row r="410" ht="15.75" customHeight="1">
      <c r="H410" s="118"/>
    </row>
    <row r="411" ht="15.75" customHeight="1">
      <c r="H411" s="118"/>
    </row>
    <row r="412" ht="15.75" customHeight="1">
      <c r="H412" s="118"/>
    </row>
    <row r="413" ht="15.75" customHeight="1">
      <c r="H413" s="118"/>
    </row>
    <row r="414" ht="15.75" customHeight="1">
      <c r="H414" s="118"/>
    </row>
    <row r="415" ht="15.75" customHeight="1">
      <c r="H415" s="118"/>
    </row>
    <row r="416" ht="15.75" customHeight="1">
      <c r="H416" s="118"/>
    </row>
    <row r="417" ht="15.75" customHeight="1">
      <c r="H417" s="118"/>
    </row>
    <row r="418" ht="15.75" customHeight="1">
      <c r="H418" s="118"/>
    </row>
    <row r="419" ht="15.75" customHeight="1">
      <c r="H419" s="118"/>
    </row>
    <row r="420" ht="15.75" customHeight="1">
      <c r="H420" s="118"/>
    </row>
    <row r="421" ht="15.75" customHeight="1">
      <c r="H421" s="118"/>
    </row>
    <row r="422" ht="15.75" customHeight="1">
      <c r="H422" s="118"/>
    </row>
    <row r="423" ht="15.75" customHeight="1">
      <c r="H423" s="118"/>
    </row>
    <row r="424" ht="15.75" customHeight="1">
      <c r="H424" s="118"/>
    </row>
    <row r="425" ht="15.75" customHeight="1">
      <c r="H425" s="118"/>
    </row>
    <row r="426" ht="15.75" customHeight="1">
      <c r="H426" s="118"/>
    </row>
    <row r="427" ht="15.75" customHeight="1">
      <c r="H427" s="118"/>
    </row>
    <row r="428" ht="15.75" customHeight="1">
      <c r="H428" s="118"/>
    </row>
    <row r="429" ht="15.75" customHeight="1">
      <c r="H429" s="118"/>
    </row>
    <row r="430" ht="15.75" customHeight="1">
      <c r="H430" s="118"/>
    </row>
    <row r="431" ht="15.75" customHeight="1">
      <c r="H431" s="118"/>
    </row>
    <row r="432" ht="15.75" customHeight="1">
      <c r="H432" s="118"/>
    </row>
    <row r="433" ht="15.75" customHeight="1">
      <c r="H433" s="118"/>
    </row>
    <row r="434" ht="15.75" customHeight="1">
      <c r="H434" s="118"/>
    </row>
    <row r="435" ht="15.75" customHeight="1">
      <c r="H435" s="118"/>
    </row>
    <row r="436" ht="15.75" customHeight="1">
      <c r="H436" s="118"/>
    </row>
    <row r="437" ht="15.75" customHeight="1">
      <c r="H437" s="118"/>
    </row>
    <row r="438" ht="15.75" customHeight="1">
      <c r="H438" s="118"/>
    </row>
    <row r="439" ht="15.75" customHeight="1">
      <c r="H439" s="118"/>
    </row>
    <row r="440" ht="15.75" customHeight="1">
      <c r="H440" s="118"/>
    </row>
    <row r="441" ht="15.75" customHeight="1">
      <c r="H441" s="118"/>
    </row>
    <row r="442" ht="15.75" customHeight="1">
      <c r="H442" s="118"/>
    </row>
    <row r="443" ht="15.75" customHeight="1">
      <c r="H443" s="118"/>
    </row>
    <row r="444" ht="15.75" customHeight="1">
      <c r="H444" s="118"/>
    </row>
    <row r="445" ht="15.75" customHeight="1">
      <c r="H445" s="118"/>
    </row>
    <row r="446" ht="15.75" customHeight="1">
      <c r="H446" s="118"/>
    </row>
    <row r="447" ht="15.75" customHeight="1">
      <c r="H447" s="118"/>
    </row>
    <row r="448" ht="15.75" customHeight="1">
      <c r="H448" s="118"/>
    </row>
    <row r="449" ht="15.75" customHeight="1">
      <c r="H449" s="118"/>
    </row>
    <row r="450" ht="15.75" customHeight="1">
      <c r="H450" s="118"/>
    </row>
    <row r="451" ht="15.75" customHeight="1">
      <c r="H451" s="118"/>
    </row>
    <row r="452" ht="15.75" customHeight="1">
      <c r="H452" s="118"/>
    </row>
    <row r="453" ht="15.75" customHeight="1">
      <c r="H453" s="118"/>
    </row>
    <row r="454" ht="15.75" customHeight="1">
      <c r="H454" s="118"/>
    </row>
    <row r="455" ht="15.75" customHeight="1">
      <c r="H455" s="118"/>
    </row>
    <row r="456" ht="15.75" customHeight="1">
      <c r="H456" s="118"/>
    </row>
    <row r="457" ht="15.75" customHeight="1">
      <c r="H457" s="118"/>
    </row>
    <row r="458" ht="15.75" customHeight="1">
      <c r="H458" s="118"/>
    </row>
    <row r="459" ht="15.75" customHeight="1">
      <c r="H459" s="118"/>
    </row>
    <row r="460" ht="15.75" customHeight="1">
      <c r="H460" s="118"/>
    </row>
    <row r="461" ht="15.75" customHeight="1">
      <c r="H461" s="118"/>
    </row>
    <row r="462" ht="15.75" customHeight="1">
      <c r="H462" s="118"/>
    </row>
    <row r="463" ht="15.75" customHeight="1">
      <c r="H463" s="118"/>
    </row>
    <row r="464" ht="15.75" customHeight="1">
      <c r="H464" s="118"/>
    </row>
    <row r="465" ht="15.75" customHeight="1">
      <c r="H465" s="118"/>
    </row>
    <row r="466" ht="15.75" customHeight="1">
      <c r="H466" s="118"/>
    </row>
    <row r="467" ht="15.75" customHeight="1">
      <c r="H467" s="118"/>
    </row>
    <row r="468" ht="15.75" customHeight="1">
      <c r="H468" s="118"/>
    </row>
    <row r="469" ht="15.75" customHeight="1">
      <c r="H469" s="118"/>
    </row>
    <row r="470" ht="15.75" customHeight="1">
      <c r="H470" s="118"/>
    </row>
    <row r="471" ht="15.75" customHeight="1">
      <c r="H471" s="118"/>
    </row>
    <row r="472" ht="15.75" customHeight="1">
      <c r="H472" s="118"/>
    </row>
    <row r="473" ht="15.75" customHeight="1">
      <c r="H473" s="118"/>
    </row>
    <row r="474" ht="15.75" customHeight="1">
      <c r="H474" s="118"/>
    </row>
    <row r="475" ht="15.75" customHeight="1">
      <c r="H475" s="118"/>
    </row>
    <row r="476" ht="15.75" customHeight="1">
      <c r="H476" s="118"/>
    </row>
    <row r="477" ht="15.75" customHeight="1">
      <c r="H477" s="118"/>
    </row>
    <row r="478" ht="15.75" customHeight="1">
      <c r="H478" s="118"/>
    </row>
    <row r="479" ht="15.75" customHeight="1">
      <c r="H479" s="118"/>
    </row>
    <row r="480" ht="15.75" customHeight="1">
      <c r="H480" s="118"/>
    </row>
    <row r="481" ht="15.75" customHeight="1">
      <c r="H481" s="118"/>
    </row>
    <row r="482" ht="15.75" customHeight="1">
      <c r="H482" s="118"/>
    </row>
    <row r="483" ht="15.75" customHeight="1">
      <c r="H483" s="118"/>
    </row>
    <row r="484" ht="15.75" customHeight="1">
      <c r="H484" s="118"/>
    </row>
    <row r="485" ht="15.75" customHeight="1">
      <c r="H485" s="118"/>
    </row>
    <row r="486" ht="15.75" customHeight="1">
      <c r="H486" s="118"/>
    </row>
    <row r="487" ht="15.75" customHeight="1">
      <c r="H487" s="118"/>
    </row>
    <row r="488" ht="15.75" customHeight="1">
      <c r="H488" s="118"/>
    </row>
    <row r="489" ht="15.75" customHeight="1">
      <c r="H489" s="118"/>
    </row>
    <row r="490" ht="15.75" customHeight="1">
      <c r="H490" s="118"/>
    </row>
    <row r="491" ht="15.75" customHeight="1">
      <c r="H491" s="118"/>
    </row>
    <row r="492" ht="15.75" customHeight="1">
      <c r="H492" s="118"/>
    </row>
    <row r="493" ht="15.75" customHeight="1">
      <c r="H493" s="118"/>
    </row>
    <row r="494" ht="15.75" customHeight="1">
      <c r="H494" s="118"/>
    </row>
    <row r="495" ht="15.75" customHeight="1">
      <c r="H495" s="118"/>
    </row>
    <row r="496" ht="15.75" customHeight="1">
      <c r="H496" s="118"/>
    </row>
    <row r="497" ht="15.75" customHeight="1">
      <c r="H497" s="118"/>
    </row>
    <row r="498" ht="15.75" customHeight="1">
      <c r="H498" s="118"/>
    </row>
    <row r="499" ht="15.75" customHeight="1">
      <c r="H499" s="118"/>
    </row>
    <row r="500" ht="15.75" customHeight="1">
      <c r="H500" s="118"/>
    </row>
    <row r="501" ht="15.75" customHeight="1">
      <c r="H501" s="118"/>
    </row>
    <row r="502" ht="15.75" customHeight="1">
      <c r="H502" s="118"/>
    </row>
    <row r="503" ht="15.75" customHeight="1">
      <c r="H503" s="118"/>
    </row>
    <row r="504" ht="15.75" customHeight="1">
      <c r="H504" s="118"/>
    </row>
    <row r="505" ht="15.75" customHeight="1">
      <c r="H505" s="118"/>
    </row>
    <row r="506" ht="15.75" customHeight="1">
      <c r="H506" s="118"/>
    </row>
    <row r="507" ht="15.75" customHeight="1">
      <c r="H507" s="118"/>
    </row>
    <row r="508" ht="15.75" customHeight="1">
      <c r="H508" s="118"/>
    </row>
    <row r="509" ht="15.75" customHeight="1">
      <c r="H509" s="118"/>
    </row>
    <row r="510" ht="15.75" customHeight="1">
      <c r="H510" s="118"/>
    </row>
    <row r="511" ht="15.75" customHeight="1">
      <c r="H511" s="118"/>
    </row>
    <row r="512" ht="15.75" customHeight="1">
      <c r="H512" s="118"/>
    </row>
    <row r="513" ht="15.75" customHeight="1">
      <c r="H513" s="118"/>
    </row>
    <row r="514" ht="15.75" customHeight="1">
      <c r="H514" s="118"/>
    </row>
    <row r="515" ht="15.75" customHeight="1">
      <c r="H515" s="118"/>
    </row>
    <row r="516" ht="15.75" customHeight="1">
      <c r="H516" s="118"/>
    </row>
    <row r="517" ht="15.75" customHeight="1">
      <c r="H517" s="118"/>
    </row>
    <row r="518" ht="15.75" customHeight="1">
      <c r="H518" s="118"/>
    </row>
    <row r="519" ht="15.75" customHeight="1">
      <c r="H519" s="118"/>
    </row>
    <row r="520" ht="15.75" customHeight="1">
      <c r="H520" s="118"/>
    </row>
    <row r="521" ht="15.75" customHeight="1">
      <c r="H521" s="118"/>
    </row>
    <row r="522" ht="15.75" customHeight="1">
      <c r="H522" s="118"/>
    </row>
    <row r="523" ht="15.75" customHeight="1">
      <c r="H523" s="118"/>
    </row>
    <row r="524" ht="15.75" customHeight="1">
      <c r="H524" s="118"/>
    </row>
    <row r="525" ht="15.75" customHeight="1">
      <c r="H525" s="118"/>
    </row>
    <row r="526" ht="15.75" customHeight="1">
      <c r="H526" s="118"/>
    </row>
    <row r="527" ht="15.75" customHeight="1">
      <c r="H527" s="118"/>
    </row>
    <row r="528" ht="15.75" customHeight="1">
      <c r="H528" s="118"/>
    </row>
    <row r="529" ht="15.75" customHeight="1">
      <c r="H529" s="118"/>
    </row>
    <row r="530" ht="15.75" customHeight="1">
      <c r="H530" s="118"/>
    </row>
    <row r="531" ht="15.75" customHeight="1">
      <c r="H531" s="118"/>
    </row>
    <row r="532" ht="15.75" customHeight="1">
      <c r="H532" s="118"/>
    </row>
    <row r="533" ht="15.75" customHeight="1">
      <c r="H533" s="118"/>
    </row>
    <row r="534" ht="15.75" customHeight="1">
      <c r="H534" s="118"/>
    </row>
    <row r="535" ht="15.75" customHeight="1">
      <c r="H535" s="118"/>
    </row>
    <row r="536" ht="15.75" customHeight="1">
      <c r="H536" s="118"/>
    </row>
    <row r="537" ht="15.75" customHeight="1">
      <c r="H537" s="118"/>
    </row>
    <row r="538" ht="15.75" customHeight="1">
      <c r="H538" s="118"/>
    </row>
    <row r="539" ht="15.75" customHeight="1">
      <c r="H539" s="118"/>
    </row>
    <row r="540" ht="15.75" customHeight="1">
      <c r="H540" s="118"/>
    </row>
    <row r="541" ht="15.75" customHeight="1">
      <c r="H541" s="118"/>
    </row>
    <row r="542" ht="15.75" customHeight="1">
      <c r="H542" s="118"/>
    </row>
    <row r="543" ht="15.75" customHeight="1">
      <c r="H543" s="118"/>
    </row>
    <row r="544" ht="15.75" customHeight="1">
      <c r="H544" s="118"/>
    </row>
    <row r="545" ht="15.75" customHeight="1">
      <c r="H545" s="118"/>
    </row>
    <row r="546" ht="15.75" customHeight="1">
      <c r="H546" s="118"/>
    </row>
    <row r="547" ht="15.75" customHeight="1">
      <c r="H547" s="118"/>
    </row>
    <row r="548" ht="15.75" customHeight="1">
      <c r="H548" s="118"/>
    </row>
    <row r="549" ht="15.75" customHeight="1">
      <c r="H549" s="118"/>
    </row>
    <row r="550" ht="15.75" customHeight="1">
      <c r="H550" s="118"/>
    </row>
    <row r="551" ht="15.75" customHeight="1">
      <c r="H551" s="118"/>
    </row>
    <row r="552" ht="15.75" customHeight="1">
      <c r="H552" s="118"/>
    </row>
    <row r="553" ht="15.75" customHeight="1">
      <c r="H553" s="118"/>
    </row>
    <row r="554" ht="15.75" customHeight="1">
      <c r="H554" s="118"/>
    </row>
    <row r="555" ht="15.75" customHeight="1">
      <c r="H555" s="118"/>
    </row>
    <row r="556" ht="15.75" customHeight="1">
      <c r="H556" s="118"/>
    </row>
    <row r="557" ht="15.75" customHeight="1">
      <c r="H557" s="118"/>
    </row>
    <row r="558" ht="15.75" customHeight="1">
      <c r="H558" s="118"/>
    </row>
    <row r="559" ht="15.75" customHeight="1">
      <c r="H559" s="118"/>
    </row>
    <row r="560" ht="15.75" customHeight="1">
      <c r="H560" s="118"/>
    </row>
    <row r="561" ht="15.75" customHeight="1">
      <c r="H561" s="118"/>
    </row>
    <row r="562" ht="15.75" customHeight="1">
      <c r="H562" s="118"/>
    </row>
    <row r="563" ht="15.75" customHeight="1">
      <c r="H563" s="118"/>
    </row>
    <row r="564" ht="15.75" customHeight="1">
      <c r="H564" s="118"/>
    </row>
    <row r="565" ht="15.75" customHeight="1">
      <c r="H565" s="118"/>
    </row>
    <row r="566" ht="15.75" customHeight="1">
      <c r="H566" s="118"/>
    </row>
    <row r="567" ht="15.75" customHeight="1">
      <c r="H567" s="118"/>
    </row>
    <row r="568" ht="15.75" customHeight="1">
      <c r="H568" s="118"/>
    </row>
    <row r="569" ht="15.75" customHeight="1">
      <c r="H569" s="118"/>
    </row>
    <row r="570" ht="15.75" customHeight="1">
      <c r="H570" s="118"/>
    </row>
    <row r="571" ht="15.75" customHeight="1">
      <c r="H571" s="118"/>
    </row>
    <row r="572" ht="15.75" customHeight="1">
      <c r="H572" s="118"/>
    </row>
    <row r="573" ht="15.75" customHeight="1">
      <c r="H573" s="118"/>
    </row>
    <row r="574" ht="15.75" customHeight="1">
      <c r="H574" s="118"/>
    </row>
    <row r="575" ht="15.75" customHeight="1">
      <c r="H575" s="118"/>
    </row>
    <row r="576" ht="15.75" customHeight="1">
      <c r="H576" s="118"/>
    </row>
    <row r="577" ht="15.75" customHeight="1">
      <c r="H577" s="118"/>
    </row>
    <row r="578" ht="15.75" customHeight="1">
      <c r="H578" s="118"/>
    </row>
    <row r="579" ht="15.75" customHeight="1">
      <c r="H579" s="118"/>
    </row>
    <row r="580" ht="15.75" customHeight="1">
      <c r="H580" s="118"/>
    </row>
    <row r="581" ht="15.75" customHeight="1">
      <c r="H581" s="118"/>
    </row>
    <row r="582" ht="15.75" customHeight="1">
      <c r="H582" s="118"/>
    </row>
    <row r="583" ht="15.75" customHeight="1">
      <c r="H583" s="118"/>
    </row>
    <row r="584" ht="15.75" customHeight="1">
      <c r="H584" s="118"/>
    </row>
    <row r="585" ht="15.75" customHeight="1">
      <c r="H585" s="118"/>
    </row>
    <row r="586" ht="15.75" customHeight="1">
      <c r="H586" s="118"/>
    </row>
    <row r="587" ht="15.75" customHeight="1">
      <c r="H587" s="118"/>
    </row>
    <row r="588" ht="15.75" customHeight="1">
      <c r="H588" s="118"/>
    </row>
    <row r="589" ht="15.75" customHeight="1">
      <c r="H589" s="118"/>
    </row>
    <row r="590" ht="15.75" customHeight="1">
      <c r="H590" s="118"/>
    </row>
    <row r="591" ht="15.75" customHeight="1">
      <c r="H591" s="118"/>
    </row>
    <row r="592" ht="15.75" customHeight="1">
      <c r="H592" s="118"/>
    </row>
    <row r="593" ht="15.75" customHeight="1">
      <c r="H593" s="118"/>
    </row>
    <row r="594" ht="15.75" customHeight="1">
      <c r="H594" s="118"/>
    </row>
    <row r="595" ht="15.75" customHeight="1">
      <c r="H595" s="118"/>
    </row>
    <row r="596" ht="15.75" customHeight="1">
      <c r="H596" s="118"/>
    </row>
    <row r="597" ht="15.75" customHeight="1">
      <c r="H597" s="118"/>
    </row>
    <row r="598" ht="15.75" customHeight="1">
      <c r="H598" s="118"/>
    </row>
    <row r="599" ht="15.75" customHeight="1">
      <c r="H599" s="118"/>
    </row>
    <row r="600" ht="15.75" customHeight="1">
      <c r="H600" s="118"/>
    </row>
    <row r="601" ht="15.75" customHeight="1">
      <c r="H601" s="118"/>
    </row>
    <row r="602" ht="15.75" customHeight="1">
      <c r="H602" s="118"/>
    </row>
    <row r="603" ht="15.75" customHeight="1">
      <c r="H603" s="118"/>
    </row>
    <row r="604" ht="15.75" customHeight="1">
      <c r="H604" s="118"/>
    </row>
    <row r="605" ht="15.75" customHeight="1">
      <c r="H605" s="118"/>
    </row>
    <row r="606" ht="15.75" customHeight="1">
      <c r="H606" s="118"/>
    </row>
    <row r="607" ht="15.75" customHeight="1">
      <c r="H607" s="118"/>
    </row>
    <row r="608" ht="15.75" customHeight="1">
      <c r="H608" s="118"/>
    </row>
    <row r="609" ht="15.75" customHeight="1">
      <c r="H609" s="118"/>
    </row>
    <row r="610" ht="15.75" customHeight="1">
      <c r="H610" s="118"/>
    </row>
    <row r="611" ht="15.75" customHeight="1">
      <c r="H611" s="118"/>
    </row>
    <row r="612" ht="15.75" customHeight="1">
      <c r="H612" s="118"/>
    </row>
    <row r="613" ht="15.75" customHeight="1">
      <c r="H613" s="118"/>
    </row>
    <row r="614" ht="15.75" customHeight="1">
      <c r="H614" s="118"/>
    </row>
    <row r="615" ht="15.75" customHeight="1">
      <c r="H615" s="118"/>
    </row>
    <row r="616" ht="15.75" customHeight="1">
      <c r="H616" s="118"/>
    </row>
    <row r="617" ht="15.75" customHeight="1">
      <c r="H617" s="118"/>
    </row>
    <row r="618" ht="15.75" customHeight="1">
      <c r="H618" s="118"/>
    </row>
    <row r="619" ht="15.75" customHeight="1">
      <c r="H619" s="118"/>
    </row>
    <row r="620" ht="15.75" customHeight="1">
      <c r="H620" s="118"/>
    </row>
    <row r="621" ht="15.75" customHeight="1">
      <c r="H621" s="118"/>
    </row>
    <row r="622" ht="15.75" customHeight="1">
      <c r="H622" s="118"/>
    </row>
    <row r="623" ht="15.75" customHeight="1">
      <c r="H623" s="118"/>
    </row>
    <row r="624" ht="15.75" customHeight="1">
      <c r="H624" s="118"/>
    </row>
    <row r="625" ht="15.75" customHeight="1">
      <c r="H625" s="118"/>
    </row>
    <row r="626" ht="15.75" customHeight="1">
      <c r="H626" s="118"/>
    </row>
    <row r="627" ht="15.75" customHeight="1">
      <c r="H627" s="118"/>
    </row>
    <row r="628" ht="15.75" customHeight="1">
      <c r="H628" s="118"/>
    </row>
    <row r="629" ht="15.75" customHeight="1">
      <c r="H629" s="118"/>
    </row>
    <row r="630" ht="15.75" customHeight="1">
      <c r="H630" s="118"/>
    </row>
    <row r="631" ht="15.75" customHeight="1">
      <c r="H631" s="118"/>
    </row>
    <row r="632" ht="15.75" customHeight="1">
      <c r="H632" s="118"/>
    </row>
    <row r="633" ht="15.75" customHeight="1">
      <c r="H633" s="118"/>
    </row>
    <row r="634" ht="15.75" customHeight="1">
      <c r="H634" s="118"/>
    </row>
    <row r="635" ht="15.75" customHeight="1">
      <c r="H635" s="118"/>
    </row>
    <row r="636" ht="15.75" customHeight="1">
      <c r="H636" s="118"/>
    </row>
    <row r="637" ht="15.75" customHeight="1">
      <c r="H637" s="118"/>
    </row>
    <row r="638" ht="15.75" customHeight="1">
      <c r="H638" s="118"/>
    </row>
    <row r="639" ht="15.75" customHeight="1">
      <c r="H639" s="118"/>
    </row>
    <row r="640" ht="15.75" customHeight="1">
      <c r="H640" s="118"/>
    </row>
    <row r="641" ht="15.75" customHeight="1">
      <c r="H641" s="118"/>
    </row>
    <row r="642" ht="15.75" customHeight="1">
      <c r="H642" s="118"/>
    </row>
    <row r="643" ht="15.75" customHeight="1">
      <c r="H643" s="118"/>
    </row>
    <row r="644" ht="15.75" customHeight="1">
      <c r="H644" s="118"/>
    </row>
    <row r="645" ht="15.75" customHeight="1">
      <c r="H645" s="118"/>
    </row>
    <row r="646" ht="15.75" customHeight="1">
      <c r="H646" s="118"/>
    </row>
    <row r="647" ht="15.75" customHeight="1">
      <c r="H647" s="118"/>
    </row>
    <row r="648" ht="15.75" customHeight="1">
      <c r="H648" s="118"/>
    </row>
    <row r="649" ht="15.75" customHeight="1">
      <c r="H649" s="118"/>
    </row>
    <row r="650" ht="15.75" customHeight="1">
      <c r="H650" s="118"/>
    </row>
    <row r="651" ht="15.75" customHeight="1">
      <c r="H651" s="118"/>
    </row>
    <row r="652" ht="15.75" customHeight="1">
      <c r="H652" s="118"/>
    </row>
    <row r="653" ht="15.75" customHeight="1">
      <c r="H653" s="118"/>
    </row>
    <row r="654" ht="15.75" customHeight="1">
      <c r="H654" s="118"/>
    </row>
    <row r="655" ht="15.75" customHeight="1">
      <c r="H655" s="118"/>
    </row>
    <row r="656" ht="15.75" customHeight="1">
      <c r="H656" s="118"/>
    </row>
    <row r="657" ht="15.75" customHeight="1">
      <c r="H657" s="118"/>
    </row>
    <row r="658" ht="15.75" customHeight="1">
      <c r="H658" s="118"/>
    </row>
    <row r="659" ht="15.75" customHeight="1">
      <c r="H659" s="118"/>
    </row>
    <row r="660" ht="15.75" customHeight="1">
      <c r="H660" s="118"/>
    </row>
    <row r="661" ht="15.75" customHeight="1">
      <c r="H661" s="118"/>
    </row>
    <row r="662" ht="15.75" customHeight="1">
      <c r="H662" s="118"/>
    </row>
    <row r="663" ht="15.75" customHeight="1">
      <c r="H663" s="118"/>
    </row>
    <row r="664" ht="15.75" customHeight="1">
      <c r="H664" s="118"/>
    </row>
    <row r="665" ht="15.75" customHeight="1">
      <c r="H665" s="118"/>
    </row>
    <row r="666" ht="15.75" customHeight="1">
      <c r="H666" s="118"/>
    </row>
    <row r="667" ht="15.75" customHeight="1">
      <c r="H667" s="118"/>
    </row>
    <row r="668" ht="15.75" customHeight="1">
      <c r="H668" s="118"/>
    </row>
    <row r="669" ht="15.75" customHeight="1">
      <c r="H669" s="118"/>
    </row>
    <row r="670" ht="15.75" customHeight="1">
      <c r="H670" s="118"/>
    </row>
    <row r="671" ht="15.75" customHeight="1">
      <c r="H671" s="118"/>
    </row>
    <row r="672" ht="15.75" customHeight="1">
      <c r="H672" s="118"/>
    </row>
    <row r="673" ht="15.75" customHeight="1">
      <c r="H673" s="118"/>
    </row>
    <row r="674" ht="15.75" customHeight="1">
      <c r="H674" s="118"/>
    </row>
    <row r="675" ht="15.75" customHeight="1">
      <c r="H675" s="118"/>
    </row>
    <row r="676" ht="15.75" customHeight="1">
      <c r="H676" s="118"/>
    </row>
    <row r="677" ht="15.75" customHeight="1">
      <c r="H677" s="118"/>
    </row>
    <row r="678" ht="15.75" customHeight="1">
      <c r="H678" s="118"/>
    </row>
    <row r="679" ht="15.75" customHeight="1">
      <c r="H679" s="118"/>
    </row>
    <row r="680" ht="15.75" customHeight="1">
      <c r="H680" s="118"/>
    </row>
    <row r="681" ht="15.75" customHeight="1">
      <c r="H681" s="118"/>
    </row>
    <row r="682" ht="15.75" customHeight="1">
      <c r="H682" s="118"/>
    </row>
    <row r="683" ht="15.75" customHeight="1">
      <c r="H683" s="118"/>
    </row>
    <row r="684" ht="15.75" customHeight="1">
      <c r="H684" s="118"/>
    </row>
    <row r="685" ht="15.75" customHeight="1">
      <c r="H685" s="118"/>
    </row>
    <row r="686" ht="15.75" customHeight="1">
      <c r="H686" s="118"/>
    </row>
    <row r="687" ht="15.75" customHeight="1">
      <c r="H687" s="118"/>
    </row>
    <row r="688" ht="15.75" customHeight="1">
      <c r="H688" s="118"/>
    </row>
    <row r="689" ht="15.75" customHeight="1">
      <c r="H689" s="118"/>
    </row>
    <row r="690" ht="15.75" customHeight="1">
      <c r="H690" s="118"/>
    </row>
    <row r="691" ht="15.75" customHeight="1">
      <c r="H691" s="118"/>
    </row>
    <row r="692" ht="15.75" customHeight="1">
      <c r="H692" s="118"/>
    </row>
    <row r="693" ht="15.75" customHeight="1">
      <c r="H693" s="118"/>
    </row>
    <row r="694" ht="15.75" customHeight="1">
      <c r="H694" s="118"/>
    </row>
    <row r="695" ht="15.75" customHeight="1">
      <c r="H695" s="118"/>
    </row>
    <row r="696" ht="15.75" customHeight="1">
      <c r="H696" s="118"/>
    </row>
    <row r="697" ht="15.75" customHeight="1">
      <c r="H697" s="118"/>
    </row>
    <row r="698" ht="15.75" customHeight="1">
      <c r="H698" s="118"/>
    </row>
    <row r="699" ht="15.75" customHeight="1">
      <c r="H699" s="118"/>
    </row>
    <row r="700" ht="15.75" customHeight="1">
      <c r="H700" s="118"/>
    </row>
    <row r="701" ht="15.75" customHeight="1">
      <c r="H701" s="118"/>
    </row>
    <row r="702" ht="15.75" customHeight="1">
      <c r="H702" s="118"/>
    </row>
    <row r="703" ht="15.75" customHeight="1">
      <c r="H703" s="118"/>
    </row>
    <row r="704" ht="15.75" customHeight="1">
      <c r="H704" s="118"/>
    </row>
    <row r="705" ht="15.75" customHeight="1">
      <c r="H705" s="118"/>
    </row>
    <row r="706" ht="15.75" customHeight="1">
      <c r="H706" s="118"/>
    </row>
    <row r="707" ht="15.75" customHeight="1">
      <c r="H707" s="118"/>
    </row>
    <row r="708" ht="15.75" customHeight="1">
      <c r="H708" s="118"/>
    </row>
    <row r="709" ht="15.75" customHeight="1">
      <c r="H709" s="118"/>
    </row>
    <row r="710" ht="15.75" customHeight="1">
      <c r="H710" s="118"/>
    </row>
    <row r="711" ht="15.75" customHeight="1">
      <c r="H711" s="118"/>
    </row>
    <row r="712" ht="15.75" customHeight="1">
      <c r="H712" s="118"/>
    </row>
    <row r="713" ht="15.75" customHeight="1">
      <c r="H713" s="118"/>
    </row>
    <row r="714" ht="15.75" customHeight="1">
      <c r="H714" s="118"/>
    </row>
    <row r="715" ht="15.75" customHeight="1">
      <c r="H715" s="118"/>
    </row>
    <row r="716" ht="15.75" customHeight="1">
      <c r="H716" s="118"/>
    </row>
    <row r="717" ht="15.75" customHeight="1">
      <c r="H717" s="118"/>
    </row>
    <row r="718" ht="15.75" customHeight="1">
      <c r="H718" s="118"/>
    </row>
    <row r="719" ht="15.75" customHeight="1">
      <c r="H719" s="118"/>
    </row>
    <row r="720" ht="15.75" customHeight="1">
      <c r="H720" s="118"/>
    </row>
    <row r="721" ht="15.75" customHeight="1">
      <c r="H721" s="118"/>
    </row>
    <row r="722" ht="15.75" customHeight="1">
      <c r="H722" s="118"/>
    </row>
    <row r="723" ht="15.75" customHeight="1">
      <c r="H723" s="118"/>
    </row>
    <row r="724" ht="15.75" customHeight="1">
      <c r="H724" s="118"/>
    </row>
    <row r="725" ht="15.75" customHeight="1">
      <c r="H725" s="118"/>
    </row>
    <row r="726" ht="15.75" customHeight="1">
      <c r="H726" s="118"/>
    </row>
    <row r="727" ht="15.75" customHeight="1">
      <c r="H727" s="118"/>
    </row>
    <row r="728" ht="15.75" customHeight="1">
      <c r="H728" s="118"/>
    </row>
    <row r="729" ht="15.75" customHeight="1">
      <c r="H729" s="118"/>
    </row>
    <row r="730" ht="15.75" customHeight="1">
      <c r="H730" s="118"/>
    </row>
    <row r="731" ht="15.75" customHeight="1">
      <c r="H731" s="118"/>
    </row>
    <row r="732" ht="15.75" customHeight="1">
      <c r="H732" s="118"/>
    </row>
    <row r="733" ht="15.75" customHeight="1">
      <c r="H733" s="118"/>
    </row>
    <row r="734" ht="15.75" customHeight="1">
      <c r="H734" s="118"/>
    </row>
    <row r="735" ht="15.75" customHeight="1">
      <c r="H735" s="118"/>
    </row>
    <row r="736" ht="15.75" customHeight="1">
      <c r="H736" s="118"/>
    </row>
    <row r="737" ht="15.75" customHeight="1">
      <c r="H737" s="118"/>
    </row>
    <row r="738" ht="15.75" customHeight="1">
      <c r="H738" s="118"/>
    </row>
    <row r="739" ht="15.75" customHeight="1">
      <c r="H739" s="118"/>
    </row>
    <row r="740" ht="15.75" customHeight="1">
      <c r="H740" s="118"/>
    </row>
    <row r="741" ht="15.75" customHeight="1">
      <c r="H741" s="118"/>
    </row>
    <row r="742" ht="15.75" customHeight="1">
      <c r="H742" s="118"/>
    </row>
    <row r="743" ht="15.75" customHeight="1">
      <c r="H743" s="118"/>
    </row>
    <row r="744" ht="15.75" customHeight="1">
      <c r="H744" s="118"/>
    </row>
    <row r="745" ht="15.75" customHeight="1">
      <c r="H745" s="118"/>
    </row>
    <row r="746" ht="15.75" customHeight="1">
      <c r="H746" s="118"/>
    </row>
    <row r="747" ht="15.75" customHeight="1">
      <c r="H747" s="118"/>
    </row>
    <row r="748" ht="15.75" customHeight="1">
      <c r="H748" s="118"/>
    </row>
    <row r="749" ht="15.75" customHeight="1">
      <c r="H749" s="118"/>
    </row>
    <row r="750" ht="15.75" customHeight="1">
      <c r="H750" s="118"/>
    </row>
    <row r="751" ht="15.75" customHeight="1">
      <c r="H751" s="118"/>
    </row>
    <row r="752" ht="15.75" customHeight="1">
      <c r="H752" s="118"/>
    </row>
    <row r="753" ht="15.75" customHeight="1">
      <c r="H753" s="118"/>
    </row>
    <row r="754" ht="15.75" customHeight="1">
      <c r="H754" s="118"/>
    </row>
    <row r="755" ht="15.75" customHeight="1">
      <c r="H755" s="118"/>
    </row>
    <row r="756" ht="15.75" customHeight="1">
      <c r="H756" s="118"/>
    </row>
    <row r="757" ht="15.75" customHeight="1">
      <c r="H757" s="118"/>
    </row>
    <row r="758" ht="15.75" customHeight="1">
      <c r="H758" s="118"/>
    </row>
    <row r="759" ht="15.75" customHeight="1">
      <c r="H759" s="118"/>
    </row>
    <row r="760" ht="15.75" customHeight="1">
      <c r="H760" s="118"/>
    </row>
    <row r="761" ht="15.75" customHeight="1">
      <c r="H761" s="118"/>
    </row>
    <row r="762" ht="15.75" customHeight="1">
      <c r="H762" s="118"/>
    </row>
    <row r="763" ht="15.75" customHeight="1">
      <c r="H763" s="118"/>
    </row>
    <row r="764" ht="15.75" customHeight="1">
      <c r="H764" s="118"/>
    </row>
    <row r="765" ht="15.75" customHeight="1">
      <c r="H765" s="118"/>
    </row>
    <row r="766" ht="15.75" customHeight="1">
      <c r="H766" s="118"/>
    </row>
    <row r="767" ht="15.75" customHeight="1">
      <c r="H767" s="118"/>
    </row>
    <row r="768" ht="15.75" customHeight="1">
      <c r="H768" s="118"/>
    </row>
    <row r="769" ht="15.75" customHeight="1">
      <c r="H769" s="118"/>
    </row>
    <row r="770" ht="15.75" customHeight="1">
      <c r="H770" s="118"/>
    </row>
    <row r="771" ht="15.75" customHeight="1">
      <c r="H771" s="118"/>
    </row>
    <row r="772" ht="15.75" customHeight="1">
      <c r="H772" s="118"/>
    </row>
    <row r="773" ht="15.75" customHeight="1">
      <c r="H773" s="118"/>
    </row>
    <row r="774" ht="15.75" customHeight="1">
      <c r="H774" s="118"/>
    </row>
    <row r="775" ht="15.75" customHeight="1">
      <c r="H775" s="118"/>
    </row>
    <row r="776" ht="15.75" customHeight="1">
      <c r="H776" s="118"/>
    </row>
    <row r="777" ht="15.75" customHeight="1">
      <c r="H777" s="118"/>
    </row>
    <row r="778" ht="15.75" customHeight="1">
      <c r="H778" s="118"/>
    </row>
    <row r="779" ht="15.75" customHeight="1">
      <c r="H779" s="118"/>
    </row>
    <row r="780" ht="15.75" customHeight="1">
      <c r="H780" s="118"/>
    </row>
    <row r="781" ht="15.75" customHeight="1">
      <c r="H781" s="118"/>
    </row>
    <row r="782" ht="15.75" customHeight="1">
      <c r="H782" s="118"/>
    </row>
    <row r="783" ht="15.75" customHeight="1">
      <c r="H783" s="118"/>
    </row>
    <row r="784" ht="15.75" customHeight="1">
      <c r="H784" s="118"/>
    </row>
    <row r="785" ht="15.75" customHeight="1">
      <c r="H785" s="118"/>
    </row>
    <row r="786" ht="15.75" customHeight="1">
      <c r="H786" s="118"/>
    </row>
    <row r="787" ht="15.75" customHeight="1">
      <c r="H787" s="118"/>
    </row>
    <row r="788" ht="15.75" customHeight="1">
      <c r="H788" s="118"/>
    </row>
    <row r="789" ht="15.75" customHeight="1">
      <c r="H789" s="118"/>
    </row>
    <row r="790" ht="15.75" customHeight="1">
      <c r="H790" s="118"/>
    </row>
    <row r="791" ht="15.75" customHeight="1">
      <c r="H791" s="118"/>
    </row>
    <row r="792" ht="15.75" customHeight="1">
      <c r="H792" s="118"/>
    </row>
    <row r="793" ht="15.75" customHeight="1">
      <c r="H793" s="118"/>
    </row>
    <row r="794" ht="15.75" customHeight="1">
      <c r="H794" s="118"/>
    </row>
    <row r="795" ht="15.75" customHeight="1">
      <c r="H795" s="118"/>
    </row>
    <row r="796" ht="15.75" customHeight="1">
      <c r="H796" s="118"/>
    </row>
    <row r="797" ht="15.75" customHeight="1">
      <c r="H797" s="118"/>
    </row>
    <row r="798" ht="15.75" customHeight="1">
      <c r="H798" s="118"/>
    </row>
    <row r="799" ht="15.75" customHeight="1">
      <c r="H799" s="118"/>
    </row>
    <row r="800" ht="15.75" customHeight="1">
      <c r="H800" s="118"/>
    </row>
    <row r="801" ht="15.75" customHeight="1">
      <c r="H801" s="118"/>
    </row>
    <row r="802" ht="15.75" customHeight="1">
      <c r="H802" s="118"/>
    </row>
    <row r="803" ht="15.75" customHeight="1">
      <c r="H803" s="118"/>
    </row>
    <row r="804" ht="15.75" customHeight="1">
      <c r="H804" s="118"/>
    </row>
    <row r="805" ht="15.75" customHeight="1">
      <c r="H805" s="118"/>
    </row>
    <row r="806" ht="15.75" customHeight="1">
      <c r="H806" s="118"/>
    </row>
    <row r="807" ht="15.75" customHeight="1">
      <c r="H807" s="118"/>
    </row>
    <row r="808" ht="15.75" customHeight="1">
      <c r="H808" s="118"/>
    </row>
    <row r="809" ht="15.75" customHeight="1">
      <c r="H809" s="118"/>
    </row>
    <row r="810" ht="15.75" customHeight="1">
      <c r="H810" s="118"/>
    </row>
    <row r="811" ht="15.75" customHeight="1">
      <c r="H811" s="118"/>
    </row>
    <row r="812" ht="15.75" customHeight="1">
      <c r="H812" s="118"/>
    </row>
    <row r="813" ht="15.75" customHeight="1">
      <c r="H813" s="118"/>
    </row>
    <row r="814" ht="15.75" customHeight="1">
      <c r="H814" s="118"/>
    </row>
    <row r="815" ht="15.75" customHeight="1">
      <c r="H815" s="118"/>
    </row>
    <row r="816" ht="15.75" customHeight="1">
      <c r="H816" s="118"/>
    </row>
    <row r="817" ht="15.75" customHeight="1">
      <c r="H817" s="118"/>
    </row>
    <row r="818" ht="15.75" customHeight="1">
      <c r="H818" s="118"/>
    </row>
    <row r="819" ht="15.75" customHeight="1">
      <c r="H819" s="118"/>
    </row>
    <row r="820" ht="15.75" customHeight="1">
      <c r="H820" s="118"/>
    </row>
    <row r="821" ht="15.75" customHeight="1">
      <c r="H821" s="118"/>
    </row>
    <row r="822" ht="15.75" customHeight="1">
      <c r="H822" s="118"/>
    </row>
    <row r="823" ht="15.75" customHeight="1">
      <c r="H823" s="118"/>
    </row>
    <row r="824" ht="15.75" customHeight="1">
      <c r="H824" s="118"/>
    </row>
    <row r="825" ht="15.75" customHeight="1">
      <c r="H825" s="118"/>
    </row>
    <row r="826" ht="15.75" customHeight="1">
      <c r="H826" s="118"/>
    </row>
    <row r="827" ht="15.75" customHeight="1">
      <c r="H827" s="118"/>
    </row>
    <row r="828" ht="15.75" customHeight="1">
      <c r="H828" s="118"/>
    </row>
    <row r="829" ht="15.75" customHeight="1">
      <c r="H829" s="118"/>
    </row>
    <row r="830" ht="15.75" customHeight="1">
      <c r="H830" s="118"/>
    </row>
    <row r="831" ht="15.75" customHeight="1">
      <c r="H831" s="118"/>
    </row>
    <row r="832" ht="15.75" customHeight="1">
      <c r="H832" s="118"/>
    </row>
    <row r="833" ht="15.75" customHeight="1">
      <c r="H833" s="118"/>
    </row>
    <row r="834" ht="15.75" customHeight="1">
      <c r="H834" s="118"/>
    </row>
    <row r="835" ht="15.75" customHeight="1">
      <c r="H835" s="118"/>
    </row>
    <row r="836" ht="15.75" customHeight="1">
      <c r="H836" s="118"/>
    </row>
    <row r="837" ht="15.75" customHeight="1">
      <c r="H837" s="118"/>
    </row>
    <row r="838" ht="15.75" customHeight="1">
      <c r="H838" s="118"/>
    </row>
    <row r="839" ht="15.75" customHeight="1">
      <c r="H839" s="118"/>
    </row>
    <row r="840" ht="15.75" customHeight="1">
      <c r="H840" s="118"/>
    </row>
    <row r="841" ht="15.75" customHeight="1">
      <c r="H841" s="118"/>
    </row>
    <row r="842" ht="15.75" customHeight="1">
      <c r="H842" s="118"/>
    </row>
    <row r="843" ht="15.75" customHeight="1">
      <c r="H843" s="118"/>
    </row>
    <row r="844" ht="15.75" customHeight="1">
      <c r="H844" s="118"/>
    </row>
    <row r="845" ht="15.75" customHeight="1">
      <c r="H845" s="118"/>
    </row>
    <row r="846" ht="15.75" customHeight="1">
      <c r="H846" s="118"/>
    </row>
    <row r="847" ht="15.75" customHeight="1">
      <c r="H847" s="118"/>
    </row>
    <row r="848" ht="15.75" customHeight="1">
      <c r="H848" s="118"/>
    </row>
    <row r="849" ht="15.75" customHeight="1">
      <c r="H849" s="118"/>
    </row>
    <row r="850" ht="15.75" customHeight="1">
      <c r="H850" s="118"/>
    </row>
    <row r="851" ht="15.75" customHeight="1">
      <c r="H851" s="118"/>
    </row>
    <row r="852" ht="15.75" customHeight="1">
      <c r="H852" s="118"/>
    </row>
    <row r="853" ht="15.75" customHeight="1">
      <c r="H853" s="118"/>
    </row>
    <row r="854" ht="15.75" customHeight="1">
      <c r="H854" s="118"/>
    </row>
    <row r="855" ht="15.75" customHeight="1">
      <c r="H855" s="118"/>
    </row>
    <row r="856" ht="15.75" customHeight="1">
      <c r="H856" s="118"/>
    </row>
    <row r="857" ht="15.75" customHeight="1">
      <c r="H857" s="118"/>
    </row>
    <row r="858" ht="15.75" customHeight="1">
      <c r="H858" s="118"/>
    </row>
    <row r="859" ht="15.75" customHeight="1">
      <c r="H859" s="118"/>
    </row>
    <row r="860" ht="15.75" customHeight="1">
      <c r="H860" s="118"/>
    </row>
    <row r="861" ht="15.75" customHeight="1">
      <c r="H861" s="118"/>
    </row>
    <row r="862" ht="15.75" customHeight="1">
      <c r="H862" s="118"/>
    </row>
    <row r="863" ht="15.75" customHeight="1">
      <c r="H863" s="118"/>
    </row>
    <row r="864" ht="15.75" customHeight="1">
      <c r="H864" s="118"/>
    </row>
    <row r="865" ht="15.75" customHeight="1">
      <c r="H865" s="118"/>
    </row>
    <row r="866" ht="15.75" customHeight="1">
      <c r="H866" s="118"/>
    </row>
    <row r="867" ht="15.75" customHeight="1">
      <c r="H867" s="118"/>
    </row>
    <row r="868" ht="15.75" customHeight="1">
      <c r="H868" s="118"/>
    </row>
    <row r="869" ht="15.75" customHeight="1">
      <c r="H869" s="118"/>
    </row>
    <row r="870" ht="15.75" customHeight="1">
      <c r="H870" s="118"/>
    </row>
    <row r="871" ht="15.75" customHeight="1">
      <c r="H871" s="118"/>
    </row>
    <row r="872" ht="15.75" customHeight="1">
      <c r="H872" s="118"/>
    </row>
    <row r="873" ht="15.75" customHeight="1">
      <c r="H873" s="118"/>
    </row>
    <row r="874" ht="15.75" customHeight="1">
      <c r="H874" s="118"/>
    </row>
    <row r="875" ht="15.75" customHeight="1">
      <c r="H875" s="118"/>
    </row>
    <row r="876" ht="15.75" customHeight="1">
      <c r="H876" s="118"/>
    </row>
    <row r="877" ht="15.75" customHeight="1">
      <c r="H877" s="118"/>
    </row>
    <row r="878" ht="15.75" customHeight="1">
      <c r="H878" s="118"/>
    </row>
    <row r="879" ht="15.75" customHeight="1">
      <c r="H879" s="118"/>
    </row>
    <row r="880" ht="15.75" customHeight="1">
      <c r="H880" s="118"/>
    </row>
    <row r="881" ht="15.75" customHeight="1">
      <c r="H881" s="118"/>
    </row>
    <row r="882" ht="15.75" customHeight="1">
      <c r="H882" s="118"/>
    </row>
    <row r="883" ht="15.75" customHeight="1">
      <c r="H883" s="118"/>
    </row>
    <row r="884" ht="15.75" customHeight="1">
      <c r="H884" s="118"/>
    </row>
    <row r="885" ht="15.75" customHeight="1">
      <c r="H885" s="118"/>
    </row>
    <row r="886" ht="15.75" customHeight="1">
      <c r="H886" s="118"/>
    </row>
    <row r="887" ht="15.75" customHeight="1">
      <c r="H887" s="118"/>
    </row>
    <row r="888" ht="15.75" customHeight="1">
      <c r="H888" s="118"/>
    </row>
    <row r="889" ht="15.75" customHeight="1">
      <c r="H889" s="118"/>
    </row>
    <row r="890" ht="15.75" customHeight="1">
      <c r="H890" s="118"/>
    </row>
    <row r="891" ht="15.75" customHeight="1">
      <c r="H891" s="118"/>
    </row>
    <row r="892" ht="15.75" customHeight="1">
      <c r="H892" s="118"/>
    </row>
    <row r="893" ht="15.75" customHeight="1">
      <c r="H893" s="118"/>
    </row>
    <row r="894" ht="15.75" customHeight="1">
      <c r="H894" s="118"/>
    </row>
    <row r="895" ht="15.75" customHeight="1">
      <c r="H895" s="118"/>
    </row>
    <row r="896" ht="15.75" customHeight="1">
      <c r="H896" s="118"/>
    </row>
    <row r="897" ht="15.75" customHeight="1">
      <c r="H897" s="118"/>
    </row>
    <row r="898" ht="15.75" customHeight="1">
      <c r="H898" s="118"/>
    </row>
    <row r="899" ht="15.75" customHeight="1">
      <c r="H899" s="118"/>
    </row>
    <row r="900" ht="15.75" customHeight="1">
      <c r="H900" s="118"/>
    </row>
    <row r="901" ht="15.75" customHeight="1">
      <c r="H901" s="118"/>
    </row>
    <row r="902" ht="15.75" customHeight="1">
      <c r="H902" s="118"/>
    </row>
    <row r="903" ht="15.75" customHeight="1">
      <c r="H903" s="118"/>
    </row>
    <row r="904" ht="15.75" customHeight="1">
      <c r="H904" s="118"/>
    </row>
    <row r="905" ht="15.75" customHeight="1">
      <c r="H905" s="118"/>
    </row>
    <row r="906" ht="15.75" customHeight="1">
      <c r="H906" s="118"/>
    </row>
    <row r="907" ht="15.75" customHeight="1">
      <c r="H907" s="118"/>
    </row>
    <row r="908" ht="15.75" customHeight="1">
      <c r="H908" s="118"/>
    </row>
    <row r="909" ht="15.75" customHeight="1">
      <c r="H909" s="118"/>
    </row>
    <row r="910" ht="15.75" customHeight="1">
      <c r="H910" s="118"/>
    </row>
    <row r="911" ht="15.75" customHeight="1">
      <c r="H911" s="118"/>
    </row>
    <row r="912" ht="15.75" customHeight="1">
      <c r="H912" s="118"/>
    </row>
    <row r="913" ht="15.75" customHeight="1">
      <c r="H913" s="118"/>
    </row>
    <row r="914" ht="15.75" customHeight="1">
      <c r="H914" s="118"/>
    </row>
    <row r="915" ht="15.75" customHeight="1">
      <c r="H915" s="118"/>
    </row>
    <row r="916" ht="15.75" customHeight="1">
      <c r="H916" s="118"/>
    </row>
    <row r="917" ht="15.75" customHeight="1">
      <c r="H917" s="118"/>
    </row>
    <row r="918" ht="15.75" customHeight="1">
      <c r="H918" s="118"/>
    </row>
    <row r="919" ht="15.75" customHeight="1">
      <c r="H919" s="118"/>
    </row>
    <row r="920" ht="15.75" customHeight="1">
      <c r="H920" s="118"/>
    </row>
    <row r="921" ht="15.75" customHeight="1">
      <c r="H921" s="118"/>
    </row>
    <row r="922" ht="15.75" customHeight="1">
      <c r="H922" s="118"/>
    </row>
    <row r="923" ht="15.75" customHeight="1">
      <c r="H923" s="118"/>
    </row>
    <row r="924" ht="15.75" customHeight="1">
      <c r="H924" s="118"/>
    </row>
    <row r="925" ht="15.75" customHeight="1">
      <c r="H925" s="118"/>
    </row>
    <row r="926" ht="15.75" customHeight="1">
      <c r="H926" s="118"/>
    </row>
    <row r="927" ht="15.75" customHeight="1">
      <c r="H927" s="118"/>
    </row>
    <row r="928" ht="15.75" customHeight="1">
      <c r="H928" s="118"/>
    </row>
    <row r="929" ht="15.75" customHeight="1">
      <c r="H929" s="118"/>
    </row>
    <row r="930" ht="15.75" customHeight="1">
      <c r="H930" s="118"/>
    </row>
    <row r="931" ht="15.75" customHeight="1">
      <c r="H931" s="118"/>
    </row>
    <row r="932" ht="15.75" customHeight="1">
      <c r="H932" s="118"/>
    </row>
    <row r="933" ht="15.75" customHeight="1">
      <c r="H933" s="118"/>
    </row>
    <row r="934" ht="15.75" customHeight="1">
      <c r="H934" s="118"/>
    </row>
    <row r="935" ht="15.75" customHeight="1">
      <c r="H935" s="118"/>
    </row>
    <row r="936" ht="15.75" customHeight="1">
      <c r="H936" s="118"/>
    </row>
    <row r="937" ht="15.75" customHeight="1">
      <c r="H937" s="118"/>
    </row>
    <row r="938" ht="15.75" customHeight="1">
      <c r="H938" s="118"/>
    </row>
    <row r="939" ht="15.75" customHeight="1">
      <c r="H939" s="118"/>
    </row>
    <row r="940" ht="15.75" customHeight="1">
      <c r="H940" s="118"/>
    </row>
    <row r="941" ht="15.75" customHeight="1">
      <c r="H941" s="118"/>
    </row>
    <row r="942" ht="15.75" customHeight="1">
      <c r="H942" s="118"/>
    </row>
    <row r="943" ht="15.75" customHeight="1">
      <c r="H943" s="118"/>
    </row>
    <row r="944" ht="15.75" customHeight="1">
      <c r="H944" s="118"/>
    </row>
    <row r="945" ht="15.75" customHeight="1">
      <c r="H945" s="118"/>
    </row>
    <row r="946" ht="15.75" customHeight="1">
      <c r="H946" s="118"/>
    </row>
    <row r="947" ht="15.75" customHeight="1">
      <c r="H947" s="118"/>
    </row>
    <row r="948" ht="15.75" customHeight="1">
      <c r="H948" s="118"/>
    </row>
    <row r="949" ht="15.75" customHeight="1">
      <c r="H949" s="118"/>
    </row>
    <row r="950" ht="15.75" customHeight="1">
      <c r="H950" s="118"/>
    </row>
    <row r="951" ht="15.75" customHeight="1">
      <c r="H951" s="118"/>
    </row>
    <row r="952" ht="15.75" customHeight="1">
      <c r="H952" s="118"/>
    </row>
    <row r="953" ht="15.75" customHeight="1">
      <c r="H953" s="118"/>
    </row>
    <row r="954" ht="15.75" customHeight="1">
      <c r="H954" s="118"/>
    </row>
    <row r="955" ht="15.75" customHeight="1">
      <c r="H955" s="118"/>
    </row>
    <row r="956" ht="15.75" customHeight="1">
      <c r="H956" s="118"/>
    </row>
    <row r="957" ht="15.75" customHeight="1">
      <c r="H957" s="118"/>
    </row>
    <row r="958" ht="15.75" customHeight="1">
      <c r="H958" s="118"/>
    </row>
    <row r="959" ht="15.75" customHeight="1">
      <c r="H959" s="118"/>
    </row>
    <row r="960" ht="15.75" customHeight="1">
      <c r="H960" s="118"/>
    </row>
    <row r="961" ht="15.75" customHeight="1">
      <c r="H961" s="118"/>
    </row>
    <row r="962" ht="15.75" customHeight="1">
      <c r="H962" s="118"/>
    </row>
    <row r="963" ht="15.75" customHeight="1">
      <c r="H963" s="118"/>
    </row>
    <row r="964" ht="15.75" customHeight="1">
      <c r="H964" s="118"/>
    </row>
    <row r="965" ht="15.75" customHeight="1">
      <c r="H965" s="118"/>
    </row>
    <row r="966" ht="15.75" customHeight="1">
      <c r="H966" s="118"/>
    </row>
    <row r="967" ht="15.75" customHeight="1">
      <c r="H967" s="118"/>
    </row>
    <row r="968" ht="15.75" customHeight="1">
      <c r="H968" s="118"/>
    </row>
    <row r="969" ht="15.75" customHeight="1">
      <c r="H969" s="118"/>
    </row>
    <row r="970" ht="15.75" customHeight="1">
      <c r="H970" s="118"/>
    </row>
    <row r="971" ht="15.75" customHeight="1">
      <c r="H971" s="118"/>
    </row>
    <row r="972" ht="15.75" customHeight="1">
      <c r="H972" s="118"/>
    </row>
    <row r="973" ht="15.75" customHeight="1">
      <c r="H973" s="118"/>
    </row>
    <row r="974" ht="15.75" customHeight="1">
      <c r="H974" s="118"/>
    </row>
    <row r="975" ht="15.75" customHeight="1">
      <c r="H975" s="118"/>
    </row>
    <row r="976" ht="15.75" customHeight="1">
      <c r="H976" s="118"/>
    </row>
    <row r="977" ht="15.75" customHeight="1">
      <c r="H977" s="118"/>
    </row>
    <row r="978" ht="15.75" customHeight="1">
      <c r="H978" s="118"/>
    </row>
    <row r="979" ht="15.75" customHeight="1">
      <c r="H979" s="118"/>
    </row>
    <row r="980" ht="15.75" customHeight="1">
      <c r="H980" s="118"/>
    </row>
    <row r="981" ht="15.75" customHeight="1">
      <c r="H981" s="118"/>
    </row>
    <row r="982" ht="15.75" customHeight="1">
      <c r="H982" s="118"/>
    </row>
    <row r="983" ht="15.75" customHeight="1">
      <c r="H983" s="118"/>
    </row>
    <row r="984" ht="15.75" customHeight="1">
      <c r="H984" s="118"/>
    </row>
    <row r="985" ht="15.75" customHeight="1">
      <c r="H985" s="118"/>
    </row>
    <row r="986" ht="15.75" customHeight="1">
      <c r="H986" s="118"/>
    </row>
    <row r="987" ht="15.75" customHeight="1">
      <c r="H987" s="118"/>
    </row>
    <row r="988" ht="15.75" customHeight="1">
      <c r="H988" s="118"/>
    </row>
    <row r="989" ht="15.75" customHeight="1">
      <c r="H989" s="118"/>
    </row>
    <row r="990" ht="15.75" customHeight="1">
      <c r="H990" s="118"/>
    </row>
    <row r="991" ht="15.75" customHeight="1">
      <c r="H991" s="118"/>
    </row>
    <row r="992" ht="15.75" customHeight="1">
      <c r="H992" s="118"/>
    </row>
    <row r="993" ht="15.75" customHeight="1">
      <c r="H993" s="118"/>
    </row>
    <row r="994" ht="15.75" customHeight="1">
      <c r="H994" s="118"/>
    </row>
    <row r="995" ht="15.75" customHeight="1">
      <c r="H995" s="118"/>
    </row>
    <row r="996" ht="15.75" customHeight="1">
      <c r="H996" s="118"/>
    </row>
    <row r="997" ht="15.75" customHeight="1">
      <c r="H997" s="118"/>
    </row>
    <row r="998" ht="15.75" customHeight="1">
      <c r="H998" s="118"/>
    </row>
    <row r="999" ht="15.75" customHeight="1">
      <c r="H999" s="118"/>
    </row>
    <row r="1000" ht="15.75" customHeight="1">
      <c r="H1000" s="118"/>
    </row>
    <row r="1001" ht="15.75" customHeight="1">
      <c r="H1001" s="118"/>
    </row>
    <row r="1002" ht="15.75" customHeight="1">
      <c r="H1002" s="118"/>
    </row>
    <row r="1003" ht="15.75" customHeight="1">
      <c r="H1003" s="118"/>
    </row>
    <row r="1004" ht="15.75" customHeight="1">
      <c r="H1004" s="118"/>
    </row>
  </sheetData>
  <mergeCells count="21">
    <mergeCell ref="I2:I3"/>
    <mergeCell ref="J2:J3"/>
    <mergeCell ref="M8:O8"/>
    <mergeCell ref="M9:O9"/>
    <mergeCell ref="M10:O10"/>
    <mergeCell ref="M11:O11"/>
    <mergeCell ref="M12:O12"/>
    <mergeCell ref="M13:O13"/>
    <mergeCell ref="B4:B8"/>
    <mergeCell ref="B9:B13"/>
    <mergeCell ref="B14:B18"/>
    <mergeCell ref="B19:B23"/>
    <mergeCell ref="B24:C24"/>
    <mergeCell ref="B25:C25"/>
    <mergeCell ref="B2:B3"/>
    <mergeCell ref="C2:C3"/>
    <mergeCell ref="D2:D3"/>
    <mergeCell ref="E2:E3"/>
    <mergeCell ref="F2:F3"/>
    <mergeCell ref="G2:G3"/>
    <mergeCell ref="H2:H3"/>
  </mergeCells>
  <conditionalFormatting sqref="I4:J23">
    <cfRule type="cellIs" dxfId="0" priority="1" operator="greaterThanOrEqual">
      <formula>0</formula>
    </cfRule>
  </conditionalFormatting>
  <conditionalFormatting sqref="I4:J23">
    <cfRule type="cellIs" dxfId="1" priority="2" operator="between">
      <formula>-0.01</formula>
      <formula>-0.25</formula>
    </cfRule>
  </conditionalFormatting>
  <conditionalFormatting sqref="I4:J23">
    <cfRule type="cellIs" dxfId="2" priority="3" operator="between">
      <formula>-0.26</formula>
      <formula>-0.5</formula>
    </cfRule>
  </conditionalFormatting>
  <conditionalFormatting sqref="I4:J23">
    <cfRule type="cellIs" dxfId="3" priority="4" operator="between">
      <formula>-0.51</formula>
      <formula>-0.75</formula>
    </cfRule>
  </conditionalFormatting>
  <conditionalFormatting sqref="I4:J23">
    <cfRule type="cellIs" dxfId="4" priority="5" operator="between">
      <formula>-0.76</formula>
      <formula>-1</formula>
    </cfRule>
  </conditionalFormatting>
  <conditionalFormatting sqref="I2:I3">
    <cfRule type="colorScale" priority="6">
      <colorScale>
        <cfvo type="min"/>
        <cfvo type="max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11" max="11" width="4.25"/>
  </cols>
  <sheetData>
    <row r="1" ht="3.75" customHeight="1"/>
    <row r="2">
      <c r="B2" s="117" t="s">
        <v>54</v>
      </c>
    </row>
    <row r="3">
      <c r="B3" s="117" t="s">
        <v>55</v>
      </c>
    </row>
    <row r="5">
      <c r="B5" s="56" t="s">
        <v>21</v>
      </c>
      <c r="C5" s="124" t="s">
        <v>4</v>
      </c>
      <c r="D5" s="10"/>
      <c r="E5" s="124" t="s">
        <v>5</v>
      </c>
      <c r="F5" s="10"/>
      <c r="G5" s="124" t="s">
        <v>6</v>
      </c>
      <c r="H5" s="10"/>
      <c r="I5" s="124" t="s">
        <v>7</v>
      </c>
      <c r="J5" s="10"/>
    </row>
    <row r="6">
      <c r="B6" s="28"/>
      <c r="C6" s="56" t="s">
        <v>27</v>
      </c>
      <c r="D6" s="56" t="s">
        <v>18</v>
      </c>
      <c r="E6" s="125" t="s">
        <v>27</v>
      </c>
      <c r="F6" s="125" t="s">
        <v>18</v>
      </c>
      <c r="G6" s="56" t="s">
        <v>27</v>
      </c>
      <c r="H6" s="56" t="s">
        <v>18</v>
      </c>
      <c r="I6" s="56" t="s">
        <v>27</v>
      </c>
      <c r="J6" s="56" t="s">
        <v>18</v>
      </c>
    </row>
    <row r="7">
      <c r="B7" s="126">
        <v>0.0</v>
      </c>
      <c r="C7" s="127">
        <f>'Dados prontos Dia 0'!I4</f>
        <v>-0.15</v>
      </c>
      <c r="D7" s="128">
        <f>'Dados prontos Dia 0'!J4</f>
        <v>-0.381798547</v>
      </c>
      <c r="E7" s="127">
        <f>'Dados prontos Dia 0'!I9</f>
        <v>-0.1</v>
      </c>
      <c r="F7" s="129">
        <f>'Dados prontos Dia 0'!J9</f>
        <v>-0.2684294347</v>
      </c>
      <c r="G7" s="127">
        <f>'Dados prontos Dia 0'!I14</f>
        <v>-0.3</v>
      </c>
      <c r="H7" s="129">
        <f>'Dados prontos Dia 0'!J14</f>
        <v>-0.3612801885</v>
      </c>
      <c r="I7" s="127">
        <f>'Dados prontos Dia 0'!I19</f>
        <v>-0.1</v>
      </c>
      <c r="J7" s="128">
        <f>'Dados prontos Dia 0'!J19</f>
        <v>-0.2024565308</v>
      </c>
    </row>
    <row r="8">
      <c r="B8" s="126">
        <v>25.0</v>
      </c>
      <c r="C8" s="130">
        <f>'Dados prontos Dia 0'!I5</f>
        <v>-0.2</v>
      </c>
      <c r="D8" s="131">
        <f>'Dados prontos Dia 0'!J5</f>
        <v>-0.4613440016</v>
      </c>
      <c r="E8" s="130">
        <f>'Dados prontos Dia 0'!I10</f>
        <v>-0.25</v>
      </c>
      <c r="F8" s="132">
        <f>'Dados prontos Dia 0'!J10</f>
        <v>-0.5090778192</v>
      </c>
      <c r="G8" s="130">
        <f>'Dados prontos Dia 0'!I15</f>
        <v>-0.15</v>
      </c>
      <c r="H8" s="132">
        <f>'Dados prontos Dia 0'!J15</f>
        <v>-0.5983414375</v>
      </c>
      <c r="I8" s="130">
        <f>'Dados prontos Dia 0'!I20</f>
        <v>-0.1</v>
      </c>
      <c r="J8" s="131">
        <f>'Dados prontos Dia 0'!J20</f>
        <v>-0.4497458385</v>
      </c>
    </row>
    <row r="9">
      <c r="B9" s="126">
        <v>50.0</v>
      </c>
      <c r="C9" s="130">
        <f>'Dados prontos Dia 0'!I6</f>
        <v>-0.5</v>
      </c>
      <c r="D9" s="131">
        <f>'Dados prontos Dia 0'!J6</f>
        <v>-0.7504025133</v>
      </c>
      <c r="E9" s="130">
        <f>'Dados prontos Dia 0'!I11</f>
        <v>-0.4</v>
      </c>
      <c r="F9" s="132">
        <f>'Dados prontos Dia 0'!J11</f>
        <v>-0.6093330715</v>
      </c>
      <c r="G9" s="130">
        <f>'Dados prontos Dia 0'!I16</f>
        <v>-0.35</v>
      </c>
      <c r="H9" s="132">
        <f>'Dados prontos Dia 0'!J16</f>
        <v>-0.7966741682</v>
      </c>
      <c r="I9" s="130">
        <f>'Dados prontos Dia 0'!I21</f>
        <v>-0.35</v>
      </c>
      <c r="J9" s="131">
        <f>'Dados prontos Dia 0'!J21</f>
        <v>-0.7735655273</v>
      </c>
    </row>
    <row r="10">
      <c r="B10" s="126">
        <v>75.0</v>
      </c>
      <c r="C10" s="130">
        <f>'Dados prontos Dia 0'!I7</f>
        <v>-0.8</v>
      </c>
      <c r="D10" s="131">
        <f>'Dados prontos Dia 0'!J7</f>
        <v>-0.8395837424</v>
      </c>
      <c r="E10" s="130">
        <f>'Dados prontos Dia 0'!I12</f>
        <v>-0.45</v>
      </c>
      <c r="F10" s="132">
        <f>'Dados prontos Dia 0'!J12</f>
        <v>-0.7769844528</v>
      </c>
      <c r="G10" s="130">
        <f>'Dados prontos Dia 0'!I17</f>
        <v>-0.95</v>
      </c>
      <c r="H10" s="132">
        <f>'Dados prontos Dia 0'!J17</f>
        <v>-0.9159630866</v>
      </c>
      <c r="I10" s="130">
        <f>'Dados prontos Dia 0'!I22</f>
        <v>-0.8</v>
      </c>
      <c r="J10" s="131">
        <f>'Dados prontos Dia 0'!J22</f>
        <v>-0.821519733</v>
      </c>
    </row>
    <row r="11">
      <c r="B11" s="126">
        <v>100.0</v>
      </c>
      <c r="C11" s="133">
        <f>'Dados prontos Dia 0'!I8</f>
        <v>-0.95</v>
      </c>
      <c r="D11" s="134">
        <f>'Dados prontos Dia 0'!J8</f>
        <v>-1</v>
      </c>
      <c r="E11" s="133">
        <f>'Dados prontos Dia 0'!I13</f>
        <v>-1</v>
      </c>
      <c r="F11" s="135">
        <f>'Dados prontos Dia 0'!J13</f>
        <v>-0.9960730414</v>
      </c>
      <c r="G11" s="133">
        <f>'Dados prontos Dia 0'!I18</f>
        <v>-0.95</v>
      </c>
      <c r="H11" s="135">
        <f>'Dados prontos Dia 0'!J18</f>
        <v>-0.9960730414</v>
      </c>
      <c r="I11" s="133">
        <f>'Dados prontos Dia 0'!I23</f>
        <v>-0.95</v>
      </c>
      <c r="J11" s="134">
        <f>'Dados prontos Dia 0'!J23</f>
        <v>-0.9960730414</v>
      </c>
    </row>
    <row r="13">
      <c r="B13" s="117" t="s">
        <v>56</v>
      </c>
    </row>
    <row r="15">
      <c r="B15" s="56" t="s">
        <v>21</v>
      </c>
      <c r="C15" s="124" t="s">
        <v>4</v>
      </c>
      <c r="D15" s="10"/>
      <c r="E15" s="124" t="s">
        <v>5</v>
      </c>
      <c r="F15" s="10"/>
      <c r="G15" s="124" t="s">
        <v>6</v>
      </c>
      <c r="H15" s="10"/>
      <c r="I15" s="124" t="s">
        <v>7</v>
      </c>
      <c r="J15" s="10"/>
    </row>
    <row r="16">
      <c r="B16" s="28"/>
      <c r="C16" s="56" t="s">
        <v>27</v>
      </c>
      <c r="D16" s="56" t="s">
        <v>18</v>
      </c>
      <c r="E16" s="56" t="s">
        <v>27</v>
      </c>
      <c r="F16" s="56" t="s">
        <v>18</v>
      </c>
      <c r="G16" s="56" t="s">
        <v>27</v>
      </c>
      <c r="H16" s="56" t="s">
        <v>18</v>
      </c>
      <c r="I16" s="56" t="s">
        <v>27</v>
      </c>
      <c r="J16" s="56" t="s">
        <v>18</v>
      </c>
    </row>
    <row r="17">
      <c r="B17" s="126">
        <v>0.0</v>
      </c>
      <c r="C17" s="127">
        <f>'Dados prontos Dia 7'!I4</f>
        <v>0.3793591677</v>
      </c>
      <c r="D17" s="128">
        <f>'Dados prontos Dia 7'!J4</f>
        <v>0.3027281028</v>
      </c>
      <c r="E17" s="127">
        <f>'Dados prontos Dia 7'!I9</f>
        <v>-0.2343665035</v>
      </c>
      <c r="F17" s="128">
        <f>'Dados prontos Dia 7'!J9</f>
        <v>-0.18651441</v>
      </c>
      <c r="G17" s="127">
        <f>'Dados prontos Dia 7'!I14</f>
        <v>-0.2715996183</v>
      </c>
      <c r="H17" s="128">
        <f>'Dados prontos Dia 7'!J14</f>
        <v>-0.1744795674</v>
      </c>
      <c r="I17" s="129">
        <f>'Dados prontos Dia 7'!I19</f>
        <v>0.03226049159</v>
      </c>
      <c r="J17" s="128">
        <f>'Dados prontos Dia 7'!J19</f>
        <v>-0.07639850753</v>
      </c>
    </row>
    <row r="18">
      <c r="B18" s="126">
        <v>25.0</v>
      </c>
      <c r="C18" s="130">
        <f>'Dados prontos Dia 7'!I5</f>
        <v>-0.3169688202</v>
      </c>
      <c r="D18" s="131">
        <f>'Dados prontos Dia 7'!J5</f>
        <v>-0.3549149969</v>
      </c>
      <c r="E18" s="130">
        <f>'Dados prontos Dia 7'!I10</f>
        <v>-0.3985849057</v>
      </c>
      <c r="F18" s="131">
        <f>'Dados prontos Dia 7'!J10</f>
        <v>-0.3183962264</v>
      </c>
      <c r="G18" s="130">
        <f>'Dados prontos Dia 7'!I15</f>
        <v>-0.2544211545</v>
      </c>
      <c r="H18" s="131">
        <f>'Dados prontos Dia 7'!J15</f>
        <v>-0.2544211545</v>
      </c>
      <c r="I18" s="132">
        <f>'Dados prontos Dia 7'!I20</f>
        <v>-0.5127581643</v>
      </c>
      <c r="J18" s="131">
        <f>'Dados prontos Dia 7'!J20</f>
        <v>-0.4477925862</v>
      </c>
    </row>
    <row r="19">
      <c r="B19" s="126">
        <v>50.0</v>
      </c>
      <c r="C19" s="130">
        <f>'Dados prontos Dia 7'!I6</f>
        <v>-0.719443504</v>
      </c>
      <c r="D19" s="131">
        <f>'Dados prontos Dia 7'!J6</f>
        <v>-0.4700599519</v>
      </c>
      <c r="E19" s="130">
        <f>'Dados prontos Dia 7'!I11</f>
        <v>-0.6881406014</v>
      </c>
      <c r="F19" s="131">
        <f>'Dados prontos Dia 7'!J11</f>
        <v>-0.5581991854</v>
      </c>
      <c r="G19" s="130">
        <f>'Dados prontos Dia 7'!I16</f>
        <v>-0.7026172961</v>
      </c>
      <c r="H19" s="131">
        <f>'Dados prontos Dia 7'!J16</f>
        <v>-0.5404085485</v>
      </c>
      <c r="I19" s="132">
        <f>'Dados prontos Dia 7'!I21</f>
        <v>-0.7573332513</v>
      </c>
      <c r="J19" s="131">
        <f>'Dados prontos Dia 7'!J21</f>
        <v>-0.6562221059</v>
      </c>
    </row>
    <row r="20">
      <c r="B20" s="126">
        <v>75.0</v>
      </c>
      <c r="C20" s="130">
        <f>'Dados prontos Dia 7'!I7</f>
        <v>-0.8253254948</v>
      </c>
      <c r="D20" s="131">
        <f>'Dados prontos Dia 7'!J7</f>
        <v>-0.7030533411</v>
      </c>
      <c r="E20" s="130">
        <f>'Dados prontos Dia 7'!I12</f>
        <v>-0.6814306381</v>
      </c>
      <c r="F20" s="131">
        <f>'Dados prontos Dia 7'!J12</f>
        <v>-0.6389547231</v>
      </c>
      <c r="G20" s="130">
        <f>'Dados prontos Dia 7'!I17</f>
        <v>-0.8590292099</v>
      </c>
      <c r="H20" s="131">
        <f>'Dados prontos Dia 7'!J17</f>
        <v>-0.6576423669</v>
      </c>
      <c r="I20" s="132">
        <f>'Dados prontos Dia 7'!I22</f>
        <v>-0.7955615747</v>
      </c>
      <c r="J20" s="131">
        <f>'Dados prontos Dia 7'!J22</f>
        <v>-0.61383853</v>
      </c>
    </row>
    <row r="21">
      <c r="B21" s="126">
        <v>100.0</v>
      </c>
      <c r="C21" s="133">
        <f>'Dados prontos Dia 7'!I8</f>
        <v>-0.973467943</v>
      </c>
      <c r="D21" s="134">
        <f>'Dados prontos Dia 7'!J8</f>
        <v>-0.7744775155</v>
      </c>
      <c r="E21" s="133">
        <f>'Dados prontos Dia 7'!I13</f>
        <v>-0.9579857798</v>
      </c>
      <c r="F21" s="134">
        <f>'Dados prontos Dia 7'!J13</f>
        <v>-0.7619194189</v>
      </c>
      <c r="G21" s="133">
        <f>'Dados prontos Dia 7'!I18</f>
        <v>-0.9938440703</v>
      </c>
      <c r="H21" s="134">
        <f>'Dados prontos Dia 7'!J18</f>
        <v>-0.9476745976</v>
      </c>
      <c r="I21" s="135">
        <f>'Dados prontos Dia 7'!I23</f>
        <v>-0.9852257687</v>
      </c>
      <c r="J21" s="134">
        <f>'Dados prontos Dia 7'!J23</f>
        <v>-0.8744190341</v>
      </c>
    </row>
    <row r="23">
      <c r="B23" s="117" t="s">
        <v>57</v>
      </c>
    </row>
    <row r="25">
      <c r="B25" s="56" t="s">
        <v>21</v>
      </c>
      <c r="C25" s="124" t="s">
        <v>4</v>
      </c>
      <c r="D25" s="10"/>
      <c r="E25" s="124" t="s">
        <v>5</v>
      </c>
      <c r="F25" s="10"/>
      <c r="G25" s="124" t="s">
        <v>6</v>
      </c>
      <c r="H25" s="10"/>
      <c r="I25" s="124" t="s">
        <v>7</v>
      </c>
      <c r="J25" s="10"/>
    </row>
    <row r="26">
      <c r="B26" s="28"/>
      <c r="C26" s="56" t="s">
        <v>27</v>
      </c>
      <c r="D26" s="56" t="s">
        <v>18</v>
      </c>
      <c r="E26" s="56" t="s">
        <v>27</v>
      </c>
      <c r="F26" s="56" t="s">
        <v>18</v>
      </c>
      <c r="G26" s="56" t="s">
        <v>27</v>
      </c>
      <c r="H26" s="56" t="s">
        <v>18</v>
      </c>
      <c r="I26" s="56" t="s">
        <v>27</v>
      </c>
      <c r="J26" s="56" t="s">
        <v>18</v>
      </c>
    </row>
    <row r="27">
      <c r="B27" s="126">
        <v>0.0</v>
      </c>
      <c r="C27" s="127">
        <f>'Dados prontos Dia 14'!I4</f>
        <v>-0.1666666667</v>
      </c>
      <c r="D27" s="128">
        <f>'Dados prontos Dia 14'!J4</f>
        <v>-0.03443571472</v>
      </c>
      <c r="E27" s="127">
        <f>'Dados prontos Dia 14'!I9</f>
        <v>0</v>
      </c>
      <c r="F27" s="128">
        <f>'Dados prontos Dia 14'!J9</f>
        <v>0.07696368029</v>
      </c>
      <c r="G27" s="127">
        <f>'Dados prontos Dia 14'!I14</f>
        <v>-0.2222222222</v>
      </c>
      <c r="H27" s="128">
        <f>'Dados prontos Dia 14'!J14</f>
        <v>0.007830649161</v>
      </c>
      <c r="I27" s="129">
        <f>'Dados prontos Dia 14'!I19</f>
        <v>-0.1111111111</v>
      </c>
      <c r="J27" s="128">
        <f>'Dados prontos Dia 14'!J19</f>
        <v>-0.05645898045</v>
      </c>
    </row>
    <row r="28">
      <c r="B28" s="126">
        <v>25.0</v>
      </c>
      <c r="C28" s="130">
        <f>'Dados prontos Dia 14'!I5</f>
        <v>-0.1111111111</v>
      </c>
      <c r="D28" s="131">
        <f>'Dados prontos Dia 14'!J5</f>
        <v>-0.2908825142</v>
      </c>
      <c r="E28" s="130">
        <f>'Dados prontos Dia 14'!I10</f>
        <v>-0.05555555556</v>
      </c>
      <c r="F28" s="131">
        <f>'Dados prontos Dia 14'!J10</f>
        <v>-0.2909577498</v>
      </c>
      <c r="G28" s="130">
        <f>'Dados prontos Dia 14'!I15</f>
        <v>-0.1111111111</v>
      </c>
      <c r="H28" s="131">
        <f>'Dados prontos Dia 14'!J15</f>
        <v>-0.09400694318</v>
      </c>
      <c r="I28" s="132">
        <f>'Dados prontos Dia 14'!I20</f>
        <v>-0.05555555556</v>
      </c>
      <c r="J28" s="131">
        <f>'Dados prontos Dia 14'!J20</f>
        <v>-0.1019872959</v>
      </c>
    </row>
    <row r="29">
      <c r="B29" s="126">
        <v>50.0</v>
      </c>
      <c r="C29" s="130">
        <f>'Dados prontos Dia 14'!I6</f>
        <v>-0.2777777778</v>
      </c>
      <c r="D29" s="131">
        <f>'Dados prontos Dia 14'!J6</f>
        <v>-0.4977160607</v>
      </c>
      <c r="E29" s="130">
        <f>'Dados prontos Dia 14'!I11</f>
        <v>-0.1666666667</v>
      </c>
      <c r="F29" s="131">
        <f>'Dados prontos Dia 14'!J11</f>
        <v>-0.46827456</v>
      </c>
      <c r="G29" s="130">
        <f>'Dados prontos Dia 14'!I16</f>
        <v>-0.3333333333</v>
      </c>
      <c r="H29" s="131">
        <f>'Dados prontos Dia 14'!J16</f>
        <v>-0.3178634509</v>
      </c>
      <c r="I29" s="132">
        <f>'Dados prontos Dia 14'!I21</f>
        <v>-0.1666666667</v>
      </c>
      <c r="J29" s="131">
        <f>'Dados prontos Dia 14'!J21</f>
        <v>-0.4792861928</v>
      </c>
    </row>
    <row r="30">
      <c r="B30" s="126">
        <v>75.0</v>
      </c>
      <c r="C30" s="130">
        <f>'Dados prontos Dia 14'!I7</f>
        <v>-0.2777777778</v>
      </c>
      <c r="D30" s="131">
        <f>'Dados prontos Dia 14'!J7</f>
        <v>-0.6468256757</v>
      </c>
      <c r="E30" s="130">
        <f>'Dados prontos Dia 14'!I12</f>
        <v>-0.1666666667</v>
      </c>
      <c r="F30" s="131">
        <f>'Dados prontos Dia 14'!J12</f>
        <v>-0.6403435045</v>
      </c>
      <c r="G30" s="130">
        <f>'Dados prontos Dia 14'!I17</f>
        <v>-0.2222222222</v>
      </c>
      <c r="H30" s="131">
        <f>'Dados prontos Dia 14'!J17</f>
        <v>-0.5125942941</v>
      </c>
      <c r="I30" s="132">
        <f>'Dados prontos Dia 14'!I22</f>
        <v>0.1111111111</v>
      </c>
      <c r="J30" s="131">
        <f>'Dados prontos Dia 14'!J22</f>
        <v>-0.5772154212</v>
      </c>
    </row>
    <row r="31">
      <c r="B31" s="126">
        <v>100.0</v>
      </c>
      <c r="C31" s="133">
        <f>'Dados prontos Dia 14'!I8</f>
        <v>-0.4444444444</v>
      </c>
      <c r="D31" s="134">
        <f>'Dados prontos Dia 14'!J8</f>
        <v>-0.7869541385</v>
      </c>
      <c r="E31" s="133">
        <f>'Dados prontos Dia 14'!I13</f>
        <v>-0.6666666667</v>
      </c>
      <c r="F31" s="134">
        <f>'Dados prontos Dia 14'!J13</f>
        <v>-0.7240514039</v>
      </c>
      <c r="G31" s="133">
        <f>'Dados prontos Dia 14'!I18</f>
        <v>-0.1666666667</v>
      </c>
      <c r="H31" s="134">
        <f>'Dados prontos Dia 14'!J18</f>
        <v>-0.713088495</v>
      </c>
      <c r="I31" s="135">
        <f>'Dados prontos Dia 14'!I23</f>
        <v>-0.2777777778</v>
      </c>
      <c r="J31" s="134">
        <f>'Dados prontos Dia 14'!J23</f>
        <v>-0.7729553472</v>
      </c>
    </row>
    <row r="33">
      <c r="B33" s="89" t="s">
        <v>29</v>
      </c>
      <c r="C33" s="136" t="s">
        <v>30</v>
      </c>
      <c r="D33" s="58"/>
    </row>
    <row r="34">
      <c r="B34" s="92" t="s">
        <v>31</v>
      </c>
      <c r="C34" s="137" t="s">
        <v>32</v>
      </c>
      <c r="D34" s="10"/>
    </row>
    <row r="35">
      <c r="B35" s="99" t="s">
        <v>33</v>
      </c>
      <c r="C35" s="138" t="s">
        <v>34</v>
      </c>
      <c r="D35" s="63"/>
    </row>
    <row r="36">
      <c r="B36" s="101" t="s">
        <v>35</v>
      </c>
      <c r="C36" s="139" t="s">
        <v>36</v>
      </c>
      <c r="D36" s="63"/>
    </row>
    <row r="37">
      <c r="B37" s="101" t="s">
        <v>37</v>
      </c>
      <c r="C37" s="140" t="s">
        <v>38</v>
      </c>
      <c r="D37" s="63"/>
    </row>
  </sheetData>
  <mergeCells count="20">
    <mergeCell ref="B5:B6"/>
    <mergeCell ref="C5:D5"/>
    <mergeCell ref="E5:F5"/>
    <mergeCell ref="G5:H5"/>
    <mergeCell ref="I5:J5"/>
    <mergeCell ref="B15:B16"/>
    <mergeCell ref="C15:D15"/>
    <mergeCell ref="I15:J15"/>
    <mergeCell ref="C33:D33"/>
    <mergeCell ref="C34:D34"/>
    <mergeCell ref="C35:D35"/>
    <mergeCell ref="C36:D36"/>
    <mergeCell ref="C37:D37"/>
    <mergeCell ref="E15:F15"/>
    <mergeCell ref="G15:H15"/>
    <mergeCell ref="B25:B26"/>
    <mergeCell ref="C25:D25"/>
    <mergeCell ref="E25:F25"/>
    <mergeCell ref="G25:H25"/>
    <mergeCell ref="I25:J25"/>
  </mergeCells>
  <drawing r:id="rId1"/>
</worksheet>
</file>